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Mcodes\Hierarchical Bayesian modelling\Integrate_feature\"/>
    </mc:Choice>
  </mc:AlternateContent>
  <xr:revisionPtr revIDLastSave="0" documentId="13_ncr:1_{C6C83A01-5E99-498B-893E-0A1C12D9DF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vince_covars" sheetId="1" r:id="rId1"/>
    <sheet name="dictionary" sheetId="2" r:id="rId2"/>
    <sheet name="age65proportion" sheetId="3" r:id="rId3"/>
    <sheet name="education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2" i="3"/>
</calcChain>
</file>

<file path=xl/sharedStrings.xml><?xml version="1.0" encoding="utf-8"?>
<sst xmlns="http://schemas.openxmlformats.org/spreadsheetml/2006/main" count="258" uniqueCount="108">
  <si>
    <t>province</t>
  </si>
  <si>
    <t>region_cat</t>
  </si>
  <si>
    <t>climate_zone</t>
  </si>
  <si>
    <t>gdp_pc_2019</t>
  </si>
  <si>
    <t>pop_density_2020</t>
  </si>
  <si>
    <t>urban_rate_2020</t>
  </si>
  <si>
    <t>tertiary_share_2019</t>
  </si>
  <si>
    <t>age65_share_2020</t>
  </si>
  <si>
    <t>household_size_2020</t>
  </si>
  <si>
    <t>education_years_2019</t>
  </si>
  <si>
    <t>hospital_beds_per1k_2019</t>
  </si>
  <si>
    <t>passenger_volume_2019</t>
  </si>
  <si>
    <t>transit_volume_2019</t>
  </si>
  <si>
    <t>inbound_visitors_2019</t>
  </si>
  <si>
    <t>column</t>
  </si>
  <si>
    <t>notes</t>
  </si>
  <si>
    <t>Province name (exact match to features.mat)</t>
  </si>
  <si>
    <t>North/Northeast/East/Central/South/Southwest/Northwest</t>
  </si>
  <si>
    <t>Temperate/Subtropical/Tropic/Plateau/Arid</t>
  </si>
  <si>
    <t>CNY per person (2019)</t>
  </si>
  <si>
    <t>persons per km^2 (2020)</t>
  </si>
  <si>
    <t>proportion 0-1</t>
  </si>
  <si>
    <t>numeric</t>
  </si>
  <si>
    <t>numeric (optional)</t>
  </si>
  <si>
    <t>per 1k people (2019)</t>
  </si>
  <si>
    <t>millions (2019)</t>
  </si>
  <si>
    <t>Beijing</t>
    <phoneticPr fontId="2" type="noConversion"/>
  </si>
  <si>
    <t>Tianjin</t>
    <phoneticPr fontId="2" type="noConversion"/>
  </si>
  <si>
    <t>Hebei</t>
    <phoneticPr fontId="2" type="noConversion"/>
  </si>
  <si>
    <t>Shanxi</t>
    <phoneticPr fontId="2" type="noConversion"/>
  </si>
  <si>
    <t>Neimenggu</t>
    <phoneticPr fontId="2" type="noConversion"/>
  </si>
  <si>
    <t>Liaoning</t>
    <phoneticPr fontId="2" type="noConversion"/>
  </si>
  <si>
    <t>Jilin</t>
    <phoneticPr fontId="2" type="noConversion"/>
  </si>
  <si>
    <t>Heilongjiang</t>
    <phoneticPr fontId="2" type="noConversion"/>
  </si>
  <si>
    <t>Shanghai</t>
    <phoneticPr fontId="2" type="noConversion"/>
  </si>
  <si>
    <t>Jiangsu</t>
    <phoneticPr fontId="2" type="noConversion"/>
  </si>
  <si>
    <t>Zhejiang</t>
    <phoneticPr fontId="2" type="noConversion"/>
  </si>
  <si>
    <t>Anhui</t>
    <phoneticPr fontId="2" type="noConversion"/>
  </si>
  <si>
    <t>Fujian</t>
    <phoneticPr fontId="2" type="noConversion"/>
  </si>
  <si>
    <t>Jiangxi</t>
    <phoneticPr fontId="2" type="noConversion"/>
  </si>
  <si>
    <t>Shandong</t>
    <phoneticPr fontId="2" type="noConversion"/>
  </si>
  <si>
    <t>Henan</t>
    <phoneticPr fontId="2" type="noConversion"/>
  </si>
  <si>
    <t>Hubei</t>
    <phoneticPr fontId="2" type="noConversion"/>
  </si>
  <si>
    <t>Hunan</t>
    <phoneticPr fontId="2" type="noConversion"/>
  </si>
  <si>
    <t>Guangdong</t>
    <phoneticPr fontId="2" type="noConversion"/>
  </si>
  <si>
    <t>Guangxi</t>
    <phoneticPr fontId="2" type="noConversion"/>
  </si>
  <si>
    <t>Hainan</t>
    <phoneticPr fontId="2" type="noConversion"/>
  </si>
  <si>
    <t>Chongqing</t>
    <phoneticPr fontId="2" type="noConversion"/>
  </si>
  <si>
    <t>Sichuan</t>
    <phoneticPr fontId="2" type="noConversion"/>
  </si>
  <si>
    <t>Guizhou</t>
    <phoneticPr fontId="2" type="noConversion"/>
  </si>
  <si>
    <t>Yunnan</t>
    <phoneticPr fontId="2" type="noConversion"/>
  </si>
  <si>
    <t>Shaanxi</t>
    <phoneticPr fontId="2" type="noConversion"/>
  </si>
  <si>
    <t>Gansu</t>
    <phoneticPr fontId="2" type="noConversion"/>
  </si>
  <si>
    <t>Qinghai</t>
    <phoneticPr fontId="2" type="noConversion"/>
  </si>
  <si>
    <t>Ningxia</t>
    <phoneticPr fontId="2" type="noConversion"/>
  </si>
  <si>
    <t>Xinjiang</t>
    <phoneticPr fontId="2" type="noConversion"/>
  </si>
  <si>
    <t>抽样总人口</t>
    <phoneticPr fontId="2" type="noConversion"/>
  </si>
  <si>
    <t>抽样65+人口</t>
    <phoneticPr fontId="2" type="noConversion"/>
  </si>
  <si>
    <t>65+proportion</t>
    <phoneticPr fontId="2" type="noConversion"/>
  </si>
  <si>
    <t>总人口</t>
    <phoneticPr fontId="2" type="noConversion"/>
  </si>
  <si>
    <t>高中</t>
    <phoneticPr fontId="2" type="noConversion"/>
  </si>
  <si>
    <t>研究生</t>
    <phoneticPr fontId="2" type="noConversion"/>
  </si>
  <si>
    <t>未上过学</t>
    <phoneticPr fontId="2" type="noConversion"/>
  </si>
  <si>
    <t>普高</t>
    <phoneticPr fontId="2" type="noConversion"/>
  </si>
  <si>
    <t>中职</t>
    <phoneticPr fontId="2" type="noConversion"/>
  </si>
  <si>
    <t>本及专</t>
    <phoneticPr fontId="2" type="noConversion"/>
  </si>
  <si>
    <t>大学专科</t>
    <phoneticPr fontId="2" type="noConversion"/>
  </si>
  <si>
    <t>大学本科</t>
    <phoneticPr fontId="2" type="noConversion"/>
  </si>
  <si>
    <t>上过学占比</t>
    <phoneticPr fontId="2" type="noConversion"/>
  </si>
  <si>
    <t>高中及以上（含中职）</t>
    <phoneticPr fontId="2" type="noConversion"/>
  </si>
  <si>
    <t>大学及以上（含专科）</t>
    <phoneticPr fontId="2" type="noConversion"/>
  </si>
  <si>
    <t>North China</t>
  </si>
  <si>
    <t>Plateau</t>
  </si>
  <si>
    <t>Arid</t>
  </si>
  <si>
    <t>Temperate</t>
  </si>
  <si>
    <t>Subtropical</t>
  </si>
  <si>
    <t>Tropic</t>
  </si>
  <si>
    <t>North East</t>
  </si>
  <si>
    <t>Central China</t>
  </si>
  <si>
    <t>South China</t>
  </si>
  <si>
    <t>East China</t>
  </si>
  <si>
    <t>Southwest Region</t>
  </si>
  <si>
    <t>Northwest China</t>
  </si>
  <si>
    <t>单位：</t>
    <phoneticPr fontId="2" type="noConversion"/>
  </si>
  <si>
    <t>元</t>
    <phoneticPr fontId="2" type="noConversion"/>
  </si>
  <si>
    <t>人/平方公里</t>
    <phoneticPr fontId="2" type="noConversion"/>
  </si>
  <si>
    <t>万人</t>
    <phoneticPr fontId="2" type="noConversion"/>
  </si>
  <si>
    <t>万人次</t>
    <phoneticPr fontId="2" type="noConversion"/>
  </si>
  <si>
    <t>climate zone</t>
    <phoneticPr fontId="2" type="noConversion"/>
  </si>
  <si>
    <t>region category</t>
  </si>
  <si>
    <t>urban population density</t>
    <phoneticPr fontId="2" type="noConversion"/>
  </si>
  <si>
    <t>urban rate</t>
    <phoneticPr fontId="2" type="noConversion"/>
  </si>
  <si>
    <t>tertiary-sector share</t>
  </si>
  <si>
    <t>age65 share</t>
    <phoneticPr fontId="2" type="noConversion"/>
  </si>
  <si>
    <t>hospital beds per 1k</t>
    <phoneticPr fontId="2" type="noConversion"/>
  </si>
  <si>
    <t>public transit volume</t>
  </si>
  <si>
    <t>inbound overnight visitors</t>
    <phoneticPr fontId="2" type="noConversion"/>
  </si>
  <si>
    <t>床位数/千人</t>
    <phoneticPr fontId="2" type="noConversion"/>
  </si>
  <si>
    <t>education share</t>
    <phoneticPr fontId="2" type="noConversion"/>
  </si>
  <si>
    <t>passenger volume</t>
    <phoneticPr fontId="2" type="noConversion"/>
  </si>
  <si>
    <t>gdp_{pc}</t>
    <phoneticPr fontId="2" type="noConversion"/>
  </si>
  <si>
    <t xml:space="preserve"> disposable income_{pc}</t>
    <phoneticPr fontId="2" type="noConversion"/>
  </si>
  <si>
    <t>学前</t>
    <phoneticPr fontId="2" type="noConversion"/>
  </si>
  <si>
    <t>小学</t>
    <phoneticPr fontId="2" type="noConversion"/>
  </si>
  <si>
    <t>初中</t>
    <phoneticPr fontId="2" type="noConversion"/>
  </si>
  <si>
    <t>高等</t>
    <phoneticPr fontId="2" type="noConversion"/>
  </si>
  <si>
    <t>合计率</t>
    <phoneticPr fontId="2" type="noConversion"/>
  </si>
  <si>
    <t>proportion of students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</si>
</sst>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176" fontId="4" fillId="0" borderId="0" xfId="0" applyNumberFormat="1" applyFont="1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4"/>
  <sheetViews>
    <sheetView tabSelected="1" zoomScale="90" zoomScaleNormal="90" workbookViewId="0">
      <pane xSplit="1" topLeftCell="B1" activePane="topRight" state="frozen"/>
      <selection pane="topRight" activeCell="J1" sqref="J1:J1048576"/>
    </sheetView>
  </sheetViews>
  <sheetFormatPr defaultRowHeight="13.5" x14ac:dyDescent="0.15"/>
  <cols>
    <col min="1" max="1" width="26.625" style="8" customWidth="1"/>
    <col min="2" max="2" width="18.125" style="5" customWidth="1"/>
    <col min="3" max="3" width="19.125" style="5" customWidth="1"/>
    <col min="4" max="4" width="19" style="8" customWidth="1"/>
    <col min="5" max="5" width="25.5" style="8" customWidth="1"/>
    <col min="6" max="6" width="24.875" style="8" customWidth="1"/>
    <col min="7" max="7" width="20.5" style="8" customWidth="1"/>
    <col min="8" max="8" width="24.625" style="8" customWidth="1"/>
    <col min="9" max="9" width="27.75" style="8" customWidth="1"/>
    <col min="10" max="11" width="30.25" style="8" customWidth="1"/>
    <col min="12" max="12" width="35.5" style="8" customWidth="1"/>
    <col min="13" max="13" width="29.5" style="8" customWidth="1"/>
    <col min="14" max="14" width="30.5" style="8" customWidth="1"/>
    <col min="15" max="15" width="32.5" style="8" customWidth="1"/>
    <col min="16" max="28" width="8.875" style="8"/>
  </cols>
  <sheetData>
    <row r="1" spans="1:28" s="2" customFormat="1" x14ac:dyDescent="0.15">
      <c r="A1" s="7" t="s">
        <v>0</v>
      </c>
      <c r="B1" s="7" t="s">
        <v>89</v>
      </c>
      <c r="C1" s="7" t="s">
        <v>88</v>
      </c>
      <c r="D1" s="7" t="s">
        <v>100</v>
      </c>
      <c r="E1" s="7" t="s">
        <v>101</v>
      </c>
      <c r="F1" s="7" t="s">
        <v>90</v>
      </c>
      <c r="G1" s="7" t="s">
        <v>91</v>
      </c>
      <c r="H1" s="7" t="s">
        <v>92</v>
      </c>
      <c r="I1" s="7" t="s">
        <v>93</v>
      </c>
      <c r="J1" s="7" t="s">
        <v>98</v>
      </c>
      <c r="K1" s="7" t="s">
        <v>107</v>
      </c>
      <c r="L1" s="7" t="s">
        <v>94</v>
      </c>
      <c r="M1" s="7" t="s">
        <v>99</v>
      </c>
      <c r="N1" s="7" t="s">
        <v>95</v>
      </c>
      <c r="O1" s="7" t="s">
        <v>96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s="2" customFormat="1" x14ac:dyDescent="0.15">
      <c r="A2" s="5" t="s">
        <v>26</v>
      </c>
      <c r="B2" s="2" t="s">
        <v>71</v>
      </c>
      <c r="C2" s="2" t="s">
        <v>74</v>
      </c>
      <c r="D2" s="5">
        <v>164220</v>
      </c>
      <c r="E2" s="5">
        <v>67755.899999999994</v>
      </c>
      <c r="F2" s="5">
        <v>1137</v>
      </c>
      <c r="G2" s="5">
        <v>0.86599999999999999</v>
      </c>
      <c r="H2" s="9">
        <v>0.83499999999999996</v>
      </c>
      <c r="I2" s="5">
        <v>0.11454458178327133</v>
      </c>
      <c r="J2" s="5">
        <v>0.69872324207584324</v>
      </c>
      <c r="K2" s="5">
        <v>0.14373</v>
      </c>
      <c r="L2" s="5">
        <v>5.93</v>
      </c>
      <c r="M2" s="5">
        <v>62977</v>
      </c>
      <c r="N2" s="5">
        <v>707310</v>
      </c>
      <c r="O2" s="5">
        <v>376.9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s="2" customFormat="1" x14ac:dyDescent="0.15">
      <c r="A3" s="5" t="s">
        <v>27</v>
      </c>
      <c r="B3" s="2" t="s">
        <v>71</v>
      </c>
      <c r="C3" s="2" t="s">
        <v>74</v>
      </c>
      <c r="D3" s="5">
        <v>90371</v>
      </c>
      <c r="E3" s="5">
        <v>42404.1</v>
      </c>
      <c r="F3" s="5">
        <v>4939</v>
      </c>
      <c r="G3" s="5">
        <v>0.83479999999999999</v>
      </c>
      <c r="H3" s="9">
        <v>0.63500000000000001</v>
      </c>
      <c r="I3" s="5">
        <v>0.12079371641174039</v>
      </c>
      <c r="J3" s="5">
        <v>0.51638848049814057</v>
      </c>
      <c r="K3" s="5">
        <v>0.14099999999999999</v>
      </c>
      <c r="L3" s="5">
        <v>4.37</v>
      </c>
      <c r="M3" s="5">
        <v>17679</v>
      </c>
      <c r="N3" s="5">
        <v>161583</v>
      </c>
      <c r="O3" s="5">
        <v>56.1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s="2" customFormat="1" x14ac:dyDescent="0.15">
      <c r="A4" s="5" t="s">
        <v>28</v>
      </c>
      <c r="B4" s="2" t="s">
        <v>71</v>
      </c>
      <c r="C4" s="2" t="s">
        <v>74</v>
      </c>
      <c r="D4" s="5">
        <v>46348</v>
      </c>
      <c r="E4" s="5">
        <v>25664.7</v>
      </c>
      <c r="F4" s="5">
        <v>3063</v>
      </c>
      <c r="G4" s="5">
        <v>0.57620000000000005</v>
      </c>
      <c r="H4" s="9">
        <v>0.51300000000000001</v>
      </c>
      <c r="I4" s="5">
        <v>0.13145023440012185</v>
      </c>
      <c r="J4" s="5">
        <v>0.28740473325310872</v>
      </c>
      <c r="K4" s="5">
        <v>0.21736</v>
      </c>
      <c r="L4" s="5">
        <v>5.66</v>
      </c>
      <c r="M4" s="5">
        <v>44733</v>
      </c>
      <c r="N4" s="5">
        <v>180525</v>
      </c>
      <c r="O4" s="5">
        <v>97.08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s="2" customFormat="1" x14ac:dyDescent="0.15">
      <c r="A5" s="5" t="s">
        <v>29</v>
      </c>
      <c r="B5" s="2" t="s">
        <v>71</v>
      </c>
      <c r="C5" s="2" t="s">
        <v>74</v>
      </c>
      <c r="D5" s="5">
        <v>45724</v>
      </c>
      <c r="E5" s="5">
        <v>23828.5</v>
      </c>
      <c r="F5" s="5">
        <v>3804</v>
      </c>
      <c r="G5" s="5">
        <v>0.59550000000000003</v>
      </c>
      <c r="H5" s="9">
        <v>0.51400000000000001</v>
      </c>
      <c r="I5" s="5">
        <v>0.10995450158555081</v>
      </c>
      <c r="J5" s="5">
        <v>0.34588537839823658</v>
      </c>
      <c r="K5" s="5">
        <v>0.17249999999999999</v>
      </c>
      <c r="L5" s="5">
        <v>5.86</v>
      </c>
      <c r="M5" s="5">
        <v>22305</v>
      </c>
      <c r="N5" s="5">
        <v>135826</v>
      </c>
      <c r="O5" s="5">
        <v>76.22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s="2" customFormat="1" x14ac:dyDescent="0.15">
      <c r="A6" s="5" t="s">
        <v>30</v>
      </c>
      <c r="B6" s="2" t="s">
        <v>71</v>
      </c>
      <c r="C6" s="5" t="s">
        <v>73</v>
      </c>
      <c r="D6" s="5">
        <v>67852</v>
      </c>
      <c r="E6" s="5">
        <v>30555</v>
      </c>
      <c r="F6" s="5">
        <v>1820</v>
      </c>
      <c r="G6" s="5">
        <v>0.63370000000000004</v>
      </c>
      <c r="H6" s="9">
        <v>0.496</v>
      </c>
      <c r="I6" s="5">
        <v>0.10195502431118314</v>
      </c>
      <c r="J6" s="5">
        <v>0.37598372503881367</v>
      </c>
      <c r="K6" s="5">
        <v>0.14774999999999999</v>
      </c>
      <c r="L6" s="5">
        <v>6.34</v>
      </c>
      <c r="M6" s="5">
        <v>12158</v>
      </c>
      <c r="N6" s="5">
        <v>102913</v>
      </c>
      <c r="O6" s="5">
        <v>195.83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s="2" customFormat="1" x14ac:dyDescent="0.15">
      <c r="A7" s="5" t="s">
        <v>31</v>
      </c>
      <c r="B7" s="2" t="s">
        <v>77</v>
      </c>
      <c r="C7" s="2" t="s">
        <v>74</v>
      </c>
      <c r="D7" s="5">
        <v>57191</v>
      </c>
      <c r="E7" s="5">
        <v>31819.7</v>
      </c>
      <c r="F7" s="5">
        <v>1807</v>
      </c>
      <c r="G7" s="5">
        <v>0.68110000000000004</v>
      </c>
      <c r="H7" s="9">
        <v>0.53</v>
      </c>
      <c r="I7" s="5">
        <v>0.15923076923076923</v>
      </c>
      <c r="J7" s="5">
        <v>0.34226309476209515</v>
      </c>
      <c r="K7" s="5">
        <v>0.14172999999999999</v>
      </c>
      <c r="L7" s="5">
        <v>7.21</v>
      </c>
      <c r="M7" s="5">
        <v>70266</v>
      </c>
      <c r="N7" s="5">
        <v>422798</v>
      </c>
      <c r="O7" s="5">
        <v>294.14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s="2" customFormat="1" x14ac:dyDescent="0.15">
      <c r="A8" s="5" t="s">
        <v>32</v>
      </c>
      <c r="B8" s="2" t="s">
        <v>77</v>
      </c>
      <c r="C8" s="2" t="s">
        <v>74</v>
      </c>
      <c r="D8" s="5">
        <v>43475</v>
      </c>
      <c r="E8" s="5">
        <v>24562.9</v>
      </c>
      <c r="F8" s="5">
        <v>1885</v>
      </c>
      <c r="G8" s="5">
        <v>0.5827</v>
      </c>
      <c r="H8" s="9">
        <v>0.53799999999999992</v>
      </c>
      <c r="I8" s="5">
        <v>0.13290988108314628</v>
      </c>
      <c r="J8" s="5">
        <v>0.30113042179174343</v>
      </c>
      <c r="K8" s="5">
        <v>0.13835</v>
      </c>
      <c r="L8" s="5">
        <v>6.33</v>
      </c>
      <c r="M8" s="5">
        <v>31599</v>
      </c>
      <c r="N8" s="5">
        <v>173328</v>
      </c>
      <c r="O8" s="5">
        <v>136.58000000000001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s="2" customFormat="1" x14ac:dyDescent="0.15">
      <c r="A9" s="5" t="s">
        <v>33</v>
      </c>
      <c r="B9" s="2" t="s">
        <v>77</v>
      </c>
      <c r="C9" s="2" t="s">
        <v>74</v>
      </c>
      <c r="D9" s="5">
        <v>36183</v>
      </c>
      <c r="E9" s="5">
        <v>24253.599999999999</v>
      </c>
      <c r="F9" s="5">
        <v>5498</v>
      </c>
      <c r="G9" s="5">
        <v>0.60899999999999999</v>
      </c>
      <c r="H9" s="9">
        <v>0.501</v>
      </c>
      <c r="I9" s="5">
        <v>0.13777975802858416</v>
      </c>
      <c r="J9" s="5">
        <v>0.31357728171799942</v>
      </c>
      <c r="K9" s="5">
        <v>0.11747</v>
      </c>
      <c r="L9" s="5">
        <v>7</v>
      </c>
      <c r="M9" s="5">
        <v>29751</v>
      </c>
      <c r="N9" s="5">
        <v>218748</v>
      </c>
      <c r="O9" s="5">
        <v>110.69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s="2" customFormat="1" x14ac:dyDescent="0.15">
      <c r="A10" s="5" t="s">
        <v>34</v>
      </c>
      <c r="B10" s="2" t="s">
        <v>80</v>
      </c>
      <c r="C10" s="2" t="s">
        <v>75</v>
      </c>
      <c r="D10" s="5">
        <v>157279</v>
      </c>
      <c r="E10" s="5">
        <v>69441.600000000006</v>
      </c>
      <c r="F10" s="5">
        <v>3830</v>
      </c>
      <c r="G10" s="5">
        <v>0.88300000000000001</v>
      </c>
      <c r="H10" s="9">
        <v>0.72699999999999998</v>
      </c>
      <c r="I10" s="5">
        <v>0.16262975778546712</v>
      </c>
      <c r="J10" s="5">
        <v>0.52852029974275805</v>
      </c>
      <c r="K10" s="5">
        <v>0.12278</v>
      </c>
      <c r="L10" s="5">
        <v>6.03</v>
      </c>
      <c r="M10" s="5">
        <v>16442</v>
      </c>
      <c r="N10" s="5">
        <v>592718</v>
      </c>
      <c r="O10" s="5">
        <v>734.69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s="2" customFormat="1" x14ac:dyDescent="0.15">
      <c r="A11" s="5" t="s">
        <v>35</v>
      </c>
      <c r="B11" s="2" t="s">
        <v>80</v>
      </c>
      <c r="C11" s="2" t="s">
        <v>75</v>
      </c>
      <c r="D11" s="5">
        <v>123607</v>
      </c>
      <c r="E11" s="5">
        <v>41399.699999999997</v>
      </c>
      <c r="F11" s="5">
        <v>2221</v>
      </c>
      <c r="G11" s="5">
        <v>0.70609999999999995</v>
      </c>
      <c r="H11" s="9">
        <v>0.51300000000000001</v>
      </c>
      <c r="I11" s="5">
        <v>0.15078529017429612</v>
      </c>
      <c r="J11" s="5">
        <v>0.36425354687976164</v>
      </c>
      <c r="K11" s="5">
        <v>0.19</v>
      </c>
      <c r="L11" s="5">
        <v>6.39</v>
      </c>
      <c r="M11" s="5">
        <v>120298</v>
      </c>
      <c r="N11" s="5">
        <v>583784</v>
      </c>
      <c r="O11" s="5">
        <v>399.46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s="2" customFormat="1" x14ac:dyDescent="0.15">
      <c r="A12" s="5" t="s">
        <v>36</v>
      </c>
      <c r="B12" s="2" t="s">
        <v>80</v>
      </c>
      <c r="C12" s="2" t="s">
        <v>75</v>
      </c>
      <c r="D12" s="5">
        <v>107624</v>
      </c>
      <c r="E12" s="5">
        <v>49898.8</v>
      </c>
      <c r="F12" s="5">
        <v>2064</v>
      </c>
      <c r="G12" s="5">
        <v>0.7</v>
      </c>
      <c r="H12" s="9">
        <v>0.54</v>
      </c>
      <c r="I12" s="5">
        <v>0.14033465433729633</v>
      </c>
      <c r="J12" s="5">
        <v>0.3315936059166335</v>
      </c>
      <c r="K12" s="5">
        <v>0.17763999999999999</v>
      </c>
      <c r="L12" s="5">
        <v>5.99</v>
      </c>
      <c r="M12" s="5">
        <v>101893</v>
      </c>
      <c r="N12" s="5">
        <v>374332</v>
      </c>
      <c r="O12" s="5">
        <v>467.11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s="2" customFormat="1" x14ac:dyDescent="0.15">
      <c r="A13" s="5" t="s">
        <v>37</v>
      </c>
      <c r="B13" s="2" t="s">
        <v>80</v>
      </c>
      <c r="C13" s="2" t="s">
        <v>75</v>
      </c>
      <c r="D13" s="5">
        <v>58496</v>
      </c>
      <c r="E13" s="5">
        <v>26415.1</v>
      </c>
      <c r="F13" s="5">
        <v>2663</v>
      </c>
      <c r="G13" s="5">
        <v>0.55810000000000004</v>
      </c>
      <c r="H13" s="9">
        <v>0.50800000000000001</v>
      </c>
      <c r="I13" s="5">
        <v>0.139683628586417</v>
      </c>
      <c r="J13" s="5">
        <v>0.26838957523900991</v>
      </c>
      <c r="K13" s="5">
        <v>0.19666</v>
      </c>
      <c r="L13" s="5">
        <v>5.46</v>
      </c>
      <c r="M13" s="5">
        <v>59275</v>
      </c>
      <c r="N13" s="5">
        <v>176460</v>
      </c>
      <c r="O13" s="5">
        <v>379.74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s="2" customFormat="1" x14ac:dyDescent="0.15">
      <c r="A14" s="5" t="s">
        <v>38</v>
      </c>
      <c r="B14" s="2" t="s">
        <v>80</v>
      </c>
      <c r="C14" s="2" t="s">
        <v>75</v>
      </c>
      <c r="D14" s="5">
        <v>107139</v>
      </c>
      <c r="E14" s="5">
        <v>35616.1</v>
      </c>
      <c r="F14" s="5">
        <v>3193</v>
      </c>
      <c r="G14" s="5">
        <v>0.66500000000000004</v>
      </c>
      <c r="H14" s="9">
        <v>0.45299999999999996</v>
      </c>
      <c r="I14" s="5">
        <v>9.9970844536590109E-2</v>
      </c>
      <c r="J14" s="5">
        <v>0.27018862622501666</v>
      </c>
      <c r="K14" s="5">
        <v>0.21504000000000001</v>
      </c>
      <c r="L14" s="5">
        <v>5.09</v>
      </c>
      <c r="M14" s="5">
        <v>45761</v>
      </c>
      <c r="N14" s="5">
        <v>210493</v>
      </c>
      <c r="O14" s="5">
        <v>566.03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s="2" customFormat="1" x14ac:dyDescent="0.15">
      <c r="A15" s="5" t="s">
        <v>39</v>
      </c>
      <c r="B15" s="2" t="s">
        <v>80</v>
      </c>
      <c r="C15" s="2" t="s">
        <v>75</v>
      </c>
      <c r="D15" s="5">
        <v>53164</v>
      </c>
      <c r="E15" s="5">
        <v>26262.400000000001</v>
      </c>
      <c r="F15" s="5">
        <v>4226</v>
      </c>
      <c r="G15" s="5">
        <v>0.57420000000000004</v>
      </c>
      <c r="H15" s="9">
        <v>0.47499999999999998</v>
      </c>
      <c r="I15" s="5">
        <v>0.10149237292802467</v>
      </c>
      <c r="J15" s="5">
        <v>0.30400665794792536</v>
      </c>
      <c r="K15" s="5">
        <v>0.23563999999999999</v>
      </c>
      <c r="L15" s="5">
        <v>5.72</v>
      </c>
      <c r="M15" s="5">
        <v>58069</v>
      </c>
      <c r="N15" s="5">
        <v>126586</v>
      </c>
      <c r="O15" s="5">
        <v>197.17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s="2" customFormat="1" x14ac:dyDescent="0.15">
      <c r="A16" s="5" t="s">
        <v>40</v>
      </c>
      <c r="B16" s="2" t="s">
        <v>80</v>
      </c>
      <c r="C16" s="2" t="s">
        <v>74</v>
      </c>
      <c r="D16" s="5">
        <v>70653</v>
      </c>
      <c r="E16" s="5">
        <v>31597</v>
      </c>
      <c r="F16" s="5">
        <v>1665</v>
      </c>
      <c r="G16" s="5">
        <v>0.61509999999999998</v>
      </c>
      <c r="H16" s="9">
        <v>0.53</v>
      </c>
      <c r="I16" s="5">
        <v>0.15835440128706044</v>
      </c>
      <c r="J16" s="5">
        <v>0.30083638990774703</v>
      </c>
      <c r="K16" s="5">
        <v>0.19883000000000001</v>
      </c>
      <c r="L16" s="5">
        <v>6.25</v>
      </c>
      <c r="M16" s="5">
        <v>68920</v>
      </c>
      <c r="N16" s="5">
        <v>413644</v>
      </c>
      <c r="O16" s="5">
        <v>404.22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s="2" customFormat="1" x14ac:dyDescent="0.15">
      <c r="A17" s="5" t="s">
        <v>41</v>
      </c>
      <c r="B17" s="2" t="s">
        <v>78</v>
      </c>
      <c r="C17" s="2" t="s">
        <v>74</v>
      </c>
      <c r="D17" s="5">
        <v>56388</v>
      </c>
      <c r="E17" s="5">
        <v>23902.7</v>
      </c>
      <c r="F17" s="5">
        <v>4850</v>
      </c>
      <c r="G17" s="5">
        <v>0.53210000000000002</v>
      </c>
      <c r="H17" s="9">
        <v>0.48</v>
      </c>
      <c r="I17" s="5">
        <v>0.11601209263920519</v>
      </c>
      <c r="J17" s="5">
        <v>0.29122102098629821</v>
      </c>
      <c r="K17" s="5">
        <v>0.26501999999999998</v>
      </c>
      <c r="L17" s="5">
        <v>6.64</v>
      </c>
      <c r="M17" s="5">
        <v>109297</v>
      </c>
      <c r="N17" s="5">
        <v>281059</v>
      </c>
      <c r="O17" s="5">
        <v>180.35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s="2" customFormat="1" x14ac:dyDescent="0.15">
      <c r="A18" s="5" t="s">
        <v>42</v>
      </c>
      <c r="B18" s="2" t="s">
        <v>78</v>
      </c>
      <c r="C18" s="2" t="s">
        <v>75</v>
      </c>
      <c r="D18" s="5">
        <v>77387</v>
      </c>
      <c r="E18" s="5">
        <v>28319.5</v>
      </c>
      <c r="F18" s="5">
        <v>2846</v>
      </c>
      <c r="G18" s="5">
        <v>0.61</v>
      </c>
      <c r="H18" s="9">
        <v>0.5</v>
      </c>
      <c r="I18" s="5">
        <v>0.13071299971801045</v>
      </c>
      <c r="J18" s="5">
        <v>0.36066487139010123</v>
      </c>
      <c r="K18" s="5">
        <v>0.17649999999999999</v>
      </c>
      <c r="L18" s="5">
        <v>6.8</v>
      </c>
      <c r="M18" s="5">
        <v>87432</v>
      </c>
      <c r="N18" s="5">
        <v>420587</v>
      </c>
      <c r="O18" s="5">
        <v>450.02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s="2" customFormat="1" x14ac:dyDescent="0.15">
      <c r="A19" s="5" t="s">
        <v>43</v>
      </c>
      <c r="B19" s="2" t="s">
        <v>78</v>
      </c>
      <c r="C19" s="2" t="s">
        <v>75</v>
      </c>
      <c r="D19" s="5">
        <v>57540</v>
      </c>
      <c r="E19" s="5">
        <v>27679.7</v>
      </c>
      <c r="F19" s="5">
        <v>3265</v>
      </c>
      <c r="G19" s="5">
        <v>0.57220000000000004</v>
      </c>
      <c r="H19" s="9">
        <v>0.53200000000000003</v>
      </c>
      <c r="I19" s="5">
        <v>0.13143674212178047</v>
      </c>
      <c r="J19" s="5">
        <v>0.35651630336149703</v>
      </c>
      <c r="K19" s="5">
        <v>0.20363999999999999</v>
      </c>
      <c r="L19" s="5">
        <v>7.32</v>
      </c>
      <c r="M19" s="5">
        <v>101428</v>
      </c>
      <c r="N19" s="5">
        <v>264644</v>
      </c>
      <c r="O19" s="5">
        <v>466.95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s="2" customFormat="1" x14ac:dyDescent="0.15">
      <c r="A20" s="5" t="s">
        <v>44</v>
      </c>
      <c r="B20" s="2" t="s">
        <v>79</v>
      </c>
      <c r="C20" s="2" t="s">
        <v>75</v>
      </c>
      <c r="D20" s="5">
        <v>94172</v>
      </c>
      <c r="E20" s="5">
        <v>39014.300000000003</v>
      </c>
      <c r="F20" s="5">
        <v>3859</v>
      </c>
      <c r="G20" s="5">
        <v>0.71399999999999997</v>
      </c>
      <c r="H20" s="9">
        <v>0.55500000000000005</v>
      </c>
      <c r="I20" s="5">
        <v>8.578872625211062E-2</v>
      </c>
      <c r="J20" s="5">
        <v>0.36397710153660739</v>
      </c>
      <c r="K20" s="5">
        <v>0.22237000000000001</v>
      </c>
      <c r="L20" s="5">
        <v>4.7300000000000004</v>
      </c>
      <c r="M20" s="5">
        <v>142326</v>
      </c>
      <c r="N20" s="5">
        <v>1144032</v>
      </c>
      <c r="O20" s="5">
        <v>3731.39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s="2" customFormat="1" x14ac:dyDescent="0.15">
      <c r="A21" s="5" t="s">
        <v>45</v>
      </c>
      <c r="B21" s="2" t="s">
        <v>79</v>
      </c>
      <c r="C21" s="2" t="s">
        <v>75</v>
      </c>
      <c r="D21" s="5">
        <v>42964</v>
      </c>
      <c r="E21" s="5">
        <v>23328.2</v>
      </c>
      <c r="F21" s="5">
        <v>2097</v>
      </c>
      <c r="G21" s="5">
        <v>0.51090000000000002</v>
      </c>
      <c r="H21" s="9">
        <v>0.50700000000000001</v>
      </c>
      <c r="I21" s="5">
        <v>0.10167386748764649</v>
      </c>
      <c r="J21" s="5">
        <v>0.26013484680378934</v>
      </c>
      <c r="K21" s="5">
        <v>0.25656000000000001</v>
      </c>
      <c r="L21" s="5">
        <v>5.59</v>
      </c>
      <c r="M21" s="5">
        <v>47085</v>
      </c>
      <c r="N21" s="5">
        <v>121517</v>
      </c>
      <c r="O21" s="5">
        <v>623.96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s="2" customFormat="1" x14ac:dyDescent="0.15">
      <c r="A22" s="5" t="s">
        <v>46</v>
      </c>
      <c r="B22" s="2" t="s">
        <v>79</v>
      </c>
      <c r="C22" s="2" t="s">
        <v>76</v>
      </c>
      <c r="D22" s="5">
        <v>56507</v>
      </c>
      <c r="E22" s="5">
        <v>26679.5</v>
      </c>
      <c r="F22" s="5">
        <v>2352</v>
      </c>
      <c r="G22" s="5">
        <v>0.59230000000000005</v>
      </c>
      <c r="H22" s="9">
        <v>0.59</v>
      </c>
      <c r="I22" s="5">
        <v>9.3197278911564624E-2</v>
      </c>
      <c r="J22" s="5">
        <v>0.32092198581560283</v>
      </c>
      <c r="K22" s="5">
        <v>0.2296</v>
      </c>
      <c r="L22" s="5">
        <v>5.27</v>
      </c>
      <c r="M22" s="5">
        <v>14187</v>
      </c>
      <c r="N22" s="5">
        <v>28858</v>
      </c>
      <c r="O22" s="5">
        <v>143.59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s="2" customFormat="1" x14ac:dyDescent="0.15">
      <c r="A23" s="5" t="s">
        <v>47</v>
      </c>
      <c r="B23" s="2" t="s">
        <v>81</v>
      </c>
      <c r="C23" s="2" t="s">
        <v>75</v>
      </c>
      <c r="D23" s="5">
        <v>75828</v>
      </c>
      <c r="E23" s="5">
        <v>28920.400000000001</v>
      </c>
      <c r="F23" s="5">
        <v>2012</v>
      </c>
      <c r="G23" s="5">
        <v>0.66800000000000004</v>
      </c>
      <c r="H23" s="9">
        <v>0.53200000000000003</v>
      </c>
      <c r="I23" s="5">
        <v>0.15345637307407103</v>
      </c>
      <c r="J23" s="5">
        <v>0.33418502202643174</v>
      </c>
      <c r="K23" s="5">
        <v>0.19969999999999999</v>
      </c>
      <c r="L23" s="5">
        <v>7.42</v>
      </c>
      <c r="M23" s="5">
        <v>60153</v>
      </c>
      <c r="N23" s="5">
        <v>344608</v>
      </c>
      <c r="O23" s="5">
        <v>297.11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s="2" customFormat="1" x14ac:dyDescent="0.15">
      <c r="A24" s="5" t="s">
        <v>48</v>
      </c>
      <c r="B24" s="2" t="s">
        <v>81</v>
      </c>
      <c r="C24" s="2" t="s">
        <v>75</v>
      </c>
      <c r="D24" s="5">
        <v>55774</v>
      </c>
      <c r="E24" s="5">
        <v>24703.1</v>
      </c>
      <c r="F24" s="5">
        <v>3045</v>
      </c>
      <c r="G24" s="5">
        <v>0.53790000000000004</v>
      </c>
      <c r="H24" s="9">
        <v>0.52400000000000002</v>
      </c>
      <c r="I24" s="5">
        <v>0.15738157289590679</v>
      </c>
      <c r="J24" s="5">
        <v>0.28879728020759771</v>
      </c>
      <c r="K24" s="5">
        <v>0.18437000000000001</v>
      </c>
      <c r="L24" s="5">
        <v>7.54</v>
      </c>
      <c r="M24" s="5">
        <v>91668</v>
      </c>
      <c r="N24" s="5">
        <v>501282</v>
      </c>
      <c r="O24" s="5">
        <v>414.78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s="2" customFormat="1" x14ac:dyDescent="0.15">
      <c r="A25" s="5" t="s">
        <v>49</v>
      </c>
      <c r="B25" s="2" t="s">
        <v>81</v>
      </c>
      <c r="C25" s="2" t="s">
        <v>75</v>
      </c>
      <c r="D25" s="5">
        <v>46433</v>
      </c>
      <c r="E25" s="5">
        <v>20397.400000000001</v>
      </c>
      <c r="F25" s="5">
        <v>2222</v>
      </c>
      <c r="G25" s="5">
        <v>0.49020000000000002</v>
      </c>
      <c r="H25" s="9">
        <v>0.503</v>
      </c>
      <c r="I25" s="5">
        <v>0.11580810762966896</v>
      </c>
      <c r="J25" s="5">
        <v>0.19629153519535664</v>
      </c>
      <c r="K25" s="5">
        <v>0.26680999999999999</v>
      </c>
      <c r="L25" s="5">
        <v>7.31</v>
      </c>
      <c r="M25" s="5">
        <v>93756</v>
      </c>
      <c r="N25" s="5">
        <v>144751</v>
      </c>
      <c r="O25" s="5">
        <v>47.18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s="2" customFormat="1" x14ac:dyDescent="0.15">
      <c r="A26" s="5" t="s">
        <v>50</v>
      </c>
      <c r="B26" s="2" t="s">
        <v>81</v>
      </c>
      <c r="C26" s="2" t="s">
        <v>75</v>
      </c>
      <c r="D26" s="5">
        <v>47944</v>
      </c>
      <c r="E26" s="5">
        <v>22082.400000000001</v>
      </c>
      <c r="F26" s="5">
        <v>3133</v>
      </c>
      <c r="G26" s="5">
        <v>0.48909999999999998</v>
      </c>
      <c r="H26" s="9">
        <v>0.52600000000000002</v>
      </c>
      <c r="I26" s="5">
        <v>9.8827691820246075E-2</v>
      </c>
      <c r="J26" s="5">
        <v>0.23234949569987715</v>
      </c>
      <c r="K26" s="5">
        <v>0.20541999999999999</v>
      </c>
      <c r="L26" s="5">
        <v>6.42</v>
      </c>
      <c r="M26" s="5">
        <v>38381</v>
      </c>
      <c r="N26" s="5">
        <v>166592</v>
      </c>
      <c r="O26" s="5">
        <v>739.02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s="2" customFormat="1" x14ac:dyDescent="0.15">
      <c r="A27" s="5" t="s">
        <v>51</v>
      </c>
      <c r="B27" s="2" t="s">
        <v>82</v>
      </c>
      <c r="C27" s="2" t="s">
        <v>74</v>
      </c>
      <c r="D27" s="5">
        <v>66649</v>
      </c>
      <c r="E27" s="5">
        <v>24666.3</v>
      </c>
      <c r="F27" s="5">
        <v>5140</v>
      </c>
      <c r="G27" s="5">
        <v>0.59430000000000005</v>
      </c>
      <c r="H27" s="9">
        <v>0.45799999999999996</v>
      </c>
      <c r="I27" s="5">
        <v>0.12046554811327011</v>
      </c>
      <c r="J27" s="5">
        <v>0.32771084337349399</v>
      </c>
      <c r="K27" s="5">
        <v>0.20368</v>
      </c>
      <c r="L27" s="5">
        <v>6.86</v>
      </c>
      <c r="M27" s="5">
        <v>70761</v>
      </c>
      <c r="N27" s="5">
        <v>321620</v>
      </c>
      <c r="O27" s="5">
        <v>465.72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s="2" customFormat="1" x14ac:dyDescent="0.15">
      <c r="A28" s="5" t="s">
        <v>52</v>
      </c>
      <c r="B28" s="2" t="s">
        <v>82</v>
      </c>
      <c r="C28" s="5" t="s">
        <v>73</v>
      </c>
      <c r="D28" s="5">
        <v>32995</v>
      </c>
      <c r="E28" s="5">
        <v>19139</v>
      </c>
      <c r="F28" s="5">
        <v>3260</v>
      </c>
      <c r="G28" s="5">
        <v>0.4849</v>
      </c>
      <c r="H28" s="9">
        <v>0.55100000000000005</v>
      </c>
      <c r="I28" s="5">
        <v>0.11515357039046605</v>
      </c>
      <c r="J28" s="5">
        <v>0.28800419067574645</v>
      </c>
      <c r="K28" s="5">
        <v>0.19470000000000001</v>
      </c>
      <c r="L28" s="5">
        <v>6.84</v>
      </c>
      <c r="M28" s="5">
        <v>42133</v>
      </c>
      <c r="N28" s="5">
        <v>141618</v>
      </c>
      <c r="O28" s="5">
        <v>19.82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s="2" customFormat="1" x14ac:dyDescent="0.15">
      <c r="A29" s="5" t="s">
        <v>53</v>
      </c>
      <c r="B29" s="2" t="s">
        <v>82</v>
      </c>
      <c r="C29" s="2" t="s">
        <v>72</v>
      </c>
      <c r="D29" s="5">
        <v>48981</v>
      </c>
      <c r="E29" s="5">
        <v>22617.7</v>
      </c>
      <c r="F29" s="5">
        <v>2958</v>
      </c>
      <c r="G29" s="5">
        <v>0.55520000000000003</v>
      </c>
      <c r="H29" s="9">
        <v>0.50700000000000001</v>
      </c>
      <c r="I29" s="5">
        <v>8.5358123811536027E-2</v>
      </c>
      <c r="J29" s="5">
        <v>0.25574977000919963</v>
      </c>
      <c r="K29" s="5">
        <v>0.20543</v>
      </c>
      <c r="L29" s="5">
        <v>6.82</v>
      </c>
      <c r="M29" s="5">
        <v>6313</v>
      </c>
      <c r="N29" s="5">
        <v>36242</v>
      </c>
      <c r="O29" s="5">
        <v>7.31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s="2" customFormat="1" x14ac:dyDescent="0.15">
      <c r="A30" s="5" t="s">
        <v>54</v>
      </c>
      <c r="B30" s="2" t="s">
        <v>82</v>
      </c>
      <c r="C30" s="5" t="s">
        <v>73</v>
      </c>
      <c r="D30" s="5">
        <v>54217</v>
      </c>
      <c r="E30" s="5">
        <v>24411.9</v>
      </c>
      <c r="F30" s="5">
        <v>3059</v>
      </c>
      <c r="G30" s="5">
        <v>0.59860000000000002</v>
      </c>
      <c r="H30" s="9">
        <v>0.503</v>
      </c>
      <c r="I30" s="5">
        <v>9.5114729829755731E-2</v>
      </c>
      <c r="J30" s="5">
        <v>0.29896698399837957</v>
      </c>
      <c r="K30" s="5">
        <v>0.22439000000000001</v>
      </c>
      <c r="L30" s="5">
        <v>5.9</v>
      </c>
      <c r="M30" s="5">
        <v>5754</v>
      </c>
      <c r="N30" s="5">
        <v>32546</v>
      </c>
      <c r="O30" s="5">
        <v>12.66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s="2" customFormat="1" x14ac:dyDescent="0.15">
      <c r="A31" s="5" t="s">
        <v>55</v>
      </c>
      <c r="B31" s="2" t="s">
        <v>82</v>
      </c>
      <c r="C31" s="5" t="s">
        <v>73</v>
      </c>
      <c r="D31" s="6">
        <v>54280</v>
      </c>
      <c r="E31" s="5">
        <v>23103.4</v>
      </c>
      <c r="F31" s="5">
        <v>3667</v>
      </c>
      <c r="G31" s="5">
        <v>0.51870000000000005</v>
      </c>
      <c r="H31" s="9">
        <v>0.51600000000000001</v>
      </c>
      <c r="I31" s="5">
        <v>8.0671414038657172E-2</v>
      </c>
      <c r="J31" s="5">
        <v>0.29759434755789826</v>
      </c>
      <c r="K31" s="5">
        <v>0.26123000000000002</v>
      </c>
      <c r="L31" s="5">
        <v>7.39</v>
      </c>
      <c r="M31" s="5">
        <v>20276</v>
      </c>
      <c r="N31" s="5">
        <v>135805</v>
      </c>
      <c r="O31" s="5">
        <v>34.67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s="2" customFormat="1" x14ac:dyDescent="0.15">
      <c r="A32" s="6" t="s">
        <v>83</v>
      </c>
      <c r="B32" s="5"/>
      <c r="C32" s="5"/>
      <c r="D32" s="10" t="s">
        <v>84</v>
      </c>
      <c r="E32" s="2" t="s">
        <v>84</v>
      </c>
      <c r="F32" s="6" t="s">
        <v>85</v>
      </c>
      <c r="G32" s="6"/>
      <c r="H32" s="6"/>
      <c r="I32" s="6"/>
      <c r="J32" s="6"/>
      <c r="K32" s="6"/>
      <c r="L32" s="6" t="s">
        <v>97</v>
      </c>
      <c r="M32" s="6" t="s">
        <v>86</v>
      </c>
      <c r="N32" s="6" t="s">
        <v>87</v>
      </c>
      <c r="O32" s="6" t="s">
        <v>87</v>
      </c>
    </row>
    <row r="33" spans="1:28" s="2" customForma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s="2" customForma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s="2" customForma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s="2" customForma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s="2" customForma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s="2" customForma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s="2" customForma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s="2" customForma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s="2" customForma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s="2" customForma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s="2" customForma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s="2" customForma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s="2" customForma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s="2" customForma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s="2" customFormat="1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s="2" customFormat="1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s="2" customFormat="1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s="2" customFormat="1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s="2" customFormat="1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s="2" customFormat="1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s="2" customFormat="1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s="2" customFormat="1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s="2" customFormat="1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s="2" customFormat="1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s="2" customFormat="1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s="2" customFormat="1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s="2" customFormat="1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s="2" customFormat="1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s="2" customFormat="1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s="2" customFormat="1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s="2" customFormat="1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s="2" customFormat="1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s="2" customFormat="1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s="2" customFormat="1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s="2" customFormat="1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s="2" customFormat="1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s="2" customFormat="1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s="2" customFormat="1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s="2" customFormat="1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s="2" customFormat="1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s="2" customFormat="1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s="2" customFormat="1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s="2" customFormat="1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s="2" customFormat="1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s="2" customFormat="1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s="2" customFormat="1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s="2" customFormat="1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s="2" customFormat="1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s="2" customFormat="1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s="2" customFormat="1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s="2" customFormat="1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s="2" customFormat="1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s="2" customFormat="1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s="2" customFormat="1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s="2" customFormat="1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s="2" customFormat="1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s="2" customFormat="1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s="2" customFormat="1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s="2" customFormat="1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s="2" customFormat="1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s="2" customFormat="1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s="2" customFormat="1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s="2" customFormat="1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s="2" customFormat="1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s="2" customFormat="1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s="2" customFormat="1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s="2" customFormat="1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s="2" customFormat="1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s="2" customFormat="1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s="2" customFormat="1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s="2" customFormat="1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s="2" customFormat="1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s="2" customFormat="1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s="2" customFormat="1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s="2" customFormat="1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s="2" customFormat="1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s="2" customFormat="1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s="2" customFormat="1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s="2" customFormat="1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s="2" customFormat="1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s="2" customFormat="1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s="2" customFormat="1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s="2" customFormat="1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s="2" customFormat="1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s="2" customFormat="1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s="2" customFormat="1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s="2" customFormat="1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s="2" customFormat="1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s="2" customFormat="1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s="2" customFormat="1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s="2" customFormat="1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s="2" customFormat="1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s="2" customFormat="1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s="2" customFormat="1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s="2" customFormat="1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s="2" customFormat="1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s="2" customFormat="1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s="2" customFormat="1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s="2" customFormat="1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s="2" customFormat="1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s="2" customFormat="1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s="2" customFormat="1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.5" x14ac:dyDescent="0.15"/>
  <sheetData>
    <row r="1" spans="1:2" x14ac:dyDescent="0.15">
      <c r="A1" s="1" t="s">
        <v>14</v>
      </c>
      <c r="B1" s="1" t="s">
        <v>15</v>
      </c>
    </row>
    <row r="2" spans="1:2" x14ac:dyDescent="0.15">
      <c r="A2" t="s">
        <v>0</v>
      </c>
      <c r="B2" t="s">
        <v>16</v>
      </c>
    </row>
    <row r="3" spans="1:2" x14ac:dyDescent="0.15">
      <c r="A3" t="s">
        <v>1</v>
      </c>
      <c r="B3" t="s">
        <v>17</v>
      </c>
    </row>
    <row r="4" spans="1:2" x14ac:dyDescent="0.15">
      <c r="A4" t="s">
        <v>2</v>
      </c>
      <c r="B4" t="s">
        <v>18</v>
      </c>
    </row>
    <row r="5" spans="1:2" x14ac:dyDescent="0.15">
      <c r="A5" t="s">
        <v>3</v>
      </c>
      <c r="B5" t="s">
        <v>19</v>
      </c>
    </row>
    <row r="6" spans="1:2" x14ac:dyDescent="0.15">
      <c r="A6" t="s">
        <v>4</v>
      </c>
      <c r="B6" t="s">
        <v>20</v>
      </c>
    </row>
    <row r="7" spans="1:2" x14ac:dyDescent="0.15">
      <c r="A7" t="s">
        <v>5</v>
      </c>
      <c r="B7" t="s">
        <v>21</v>
      </c>
    </row>
    <row r="8" spans="1:2" x14ac:dyDescent="0.15">
      <c r="A8" t="s">
        <v>6</v>
      </c>
      <c r="B8" t="s">
        <v>21</v>
      </c>
    </row>
    <row r="9" spans="1:2" x14ac:dyDescent="0.15">
      <c r="A9" t="s">
        <v>7</v>
      </c>
      <c r="B9" t="s">
        <v>21</v>
      </c>
    </row>
    <row r="10" spans="1:2" x14ac:dyDescent="0.15">
      <c r="A10" t="s">
        <v>8</v>
      </c>
      <c r="B10" t="s">
        <v>22</v>
      </c>
    </row>
    <row r="11" spans="1:2" x14ac:dyDescent="0.15">
      <c r="A11" t="s">
        <v>9</v>
      </c>
      <c r="B11" t="s">
        <v>23</v>
      </c>
    </row>
    <row r="12" spans="1:2" x14ac:dyDescent="0.15">
      <c r="A12" t="s">
        <v>10</v>
      </c>
      <c r="B12" t="s">
        <v>24</v>
      </c>
    </row>
    <row r="13" spans="1:2" x14ac:dyDescent="0.15">
      <c r="A13" t="s">
        <v>11</v>
      </c>
      <c r="B13" t="s">
        <v>25</v>
      </c>
    </row>
    <row r="14" spans="1:2" x14ac:dyDescent="0.15">
      <c r="A14" t="s">
        <v>12</v>
      </c>
      <c r="B14" t="s">
        <v>25</v>
      </c>
    </row>
    <row r="15" spans="1:2" x14ac:dyDescent="0.15">
      <c r="A15" t="s">
        <v>13</v>
      </c>
      <c r="B15" t="s">
        <v>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A28D-F2C1-4A13-9D7C-EA2DEADEC214}">
  <dimension ref="A1:D134"/>
  <sheetViews>
    <sheetView workbookViewId="0">
      <selection sqref="A1:A1048576"/>
    </sheetView>
  </sheetViews>
  <sheetFormatPr defaultRowHeight="13.5" x14ac:dyDescent="0.15"/>
  <cols>
    <col min="1" max="1" width="26.625" customWidth="1"/>
    <col min="2" max="2" width="20.5" customWidth="1"/>
    <col min="3" max="4" width="24.5" customWidth="1"/>
  </cols>
  <sheetData>
    <row r="1" spans="1:4" x14ac:dyDescent="0.15">
      <c r="A1" s="3" t="s">
        <v>0</v>
      </c>
      <c r="B1" s="3" t="s">
        <v>56</v>
      </c>
      <c r="C1" s="4" t="s">
        <v>57</v>
      </c>
      <c r="D1" s="4" t="s">
        <v>58</v>
      </c>
    </row>
    <row r="2" spans="1:4" x14ac:dyDescent="0.15">
      <c r="A2" s="2" t="s">
        <v>26</v>
      </c>
      <c r="B2" s="2">
        <v>16666</v>
      </c>
      <c r="C2" s="2">
        <v>1909</v>
      </c>
      <c r="D2" s="2">
        <f>C2/B2</f>
        <v>0.11454458178327133</v>
      </c>
    </row>
    <row r="3" spans="1:4" x14ac:dyDescent="0.15">
      <c r="A3" s="2" t="s">
        <v>27</v>
      </c>
      <c r="B3" s="2">
        <v>12095</v>
      </c>
      <c r="C3" s="2">
        <v>1461</v>
      </c>
      <c r="D3" s="2">
        <f t="shared" ref="D3:D31" si="0">C3/B3</f>
        <v>0.12079371641174039</v>
      </c>
    </row>
    <row r="4" spans="1:4" x14ac:dyDescent="0.15">
      <c r="A4" s="2" t="s">
        <v>28</v>
      </c>
      <c r="B4" s="2">
        <v>59087</v>
      </c>
      <c r="C4" s="2">
        <v>7767</v>
      </c>
      <c r="D4" s="2">
        <f t="shared" si="0"/>
        <v>0.13145023440012185</v>
      </c>
    </row>
    <row r="5" spans="1:4" x14ac:dyDescent="0.15">
      <c r="A5" s="2" t="s">
        <v>29</v>
      </c>
      <c r="B5" s="2">
        <v>29012</v>
      </c>
      <c r="C5" s="2">
        <v>3190</v>
      </c>
      <c r="D5" s="2">
        <f t="shared" si="0"/>
        <v>0.10995450158555081</v>
      </c>
    </row>
    <row r="6" spans="1:4" x14ac:dyDescent="0.15">
      <c r="A6" s="2" t="s">
        <v>30</v>
      </c>
      <c r="B6" s="2">
        <v>19744</v>
      </c>
      <c r="C6" s="2">
        <v>2013</v>
      </c>
      <c r="D6" s="2">
        <f t="shared" si="0"/>
        <v>0.10195502431118314</v>
      </c>
    </row>
    <row r="7" spans="1:4" x14ac:dyDescent="0.15">
      <c r="A7" s="2" t="s">
        <v>31</v>
      </c>
      <c r="B7" s="2">
        <v>33800</v>
      </c>
      <c r="C7" s="2">
        <v>5382</v>
      </c>
      <c r="D7" s="2">
        <f t="shared" si="0"/>
        <v>0.15923076923076923</v>
      </c>
    </row>
    <row r="8" spans="1:4" x14ac:dyDescent="0.15">
      <c r="A8" s="2" t="s">
        <v>32</v>
      </c>
      <c r="B8" s="2">
        <v>20939</v>
      </c>
      <c r="C8" s="2">
        <v>2783</v>
      </c>
      <c r="D8" s="2">
        <f t="shared" si="0"/>
        <v>0.13290988108314628</v>
      </c>
    </row>
    <row r="9" spans="1:4" x14ac:dyDescent="0.15">
      <c r="A9" s="2" t="s">
        <v>33</v>
      </c>
      <c r="B9" s="2">
        <v>29177</v>
      </c>
      <c r="C9" s="2">
        <v>4020</v>
      </c>
      <c r="D9" s="2">
        <f t="shared" si="0"/>
        <v>0.13777975802858416</v>
      </c>
    </row>
    <row r="10" spans="1:4" x14ac:dyDescent="0.15">
      <c r="A10" s="2" t="s">
        <v>34</v>
      </c>
      <c r="B10" s="2">
        <v>18785</v>
      </c>
      <c r="C10" s="2">
        <v>3055</v>
      </c>
      <c r="D10" s="2">
        <f t="shared" si="0"/>
        <v>0.16262975778546712</v>
      </c>
    </row>
    <row r="11" spans="1:4" x14ac:dyDescent="0.15">
      <c r="A11" s="2" t="s">
        <v>35</v>
      </c>
      <c r="B11" s="2">
        <v>62652</v>
      </c>
      <c r="C11" s="2">
        <v>9447</v>
      </c>
      <c r="D11" s="2">
        <f t="shared" si="0"/>
        <v>0.15078529017429612</v>
      </c>
    </row>
    <row r="12" spans="1:4" x14ac:dyDescent="0.15">
      <c r="A12" s="2" t="s">
        <v>36</v>
      </c>
      <c r="B12" s="2">
        <v>45420</v>
      </c>
      <c r="C12" s="2">
        <v>6374</v>
      </c>
      <c r="D12" s="2">
        <f t="shared" si="0"/>
        <v>0.14033465433729633</v>
      </c>
    </row>
    <row r="13" spans="1:4" x14ac:dyDescent="0.15">
      <c r="A13" s="2" t="s">
        <v>37</v>
      </c>
      <c r="B13" s="2">
        <v>49562</v>
      </c>
      <c r="C13" s="2">
        <v>6923</v>
      </c>
      <c r="D13" s="2">
        <f t="shared" si="0"/>
        <v>0.139683628586417</v>
      </c>
    </row>
    <row r="14" spans="1:4" x14ac:dyDescent="0.15">
      <c r="A14" s="2" t="s">
        <v>38</v>
      </c>
      <c r="B14" s="2">
        <v>30869</v>
      </c>
      <c r="C14" s="2">
        <v>3086</v>
      </c>
      <c r="D14" s="2">
        <f t="shared" si="0"/>
        <v>9.9970844536590109E-2</v>
      </c>
    </row>
    <row r="15" spans="1:4" x14ac:dyDescent="0.15">
      <c r="A15" s="2" t="s">
        <v>39</v>
      </c>
      <c r="B15" s="2">
        <v>36318</v>
      </c>
      <c r="C15" s="2">
        <v>3686</v>
      </c>
      <c r="D15" s="2">
        <f t="shared" si="0"/>
        <v>0.10149237292802467</v>
      </c>
    </row>
    <row r="16" spans="1:4" x14ac:dyDescent="0.15">
      <c r="A16" s="2" t="s">
        <v>40</v>
      </c>
      <c r="B16" s="2">
        <v>78318</v>
      </c>
      <c r="C16" s="2">
        <v>12402</v>
      </c>
      <c r="D16" s="2">
        <f t="shared" si="0"/>
        <v>0.15835440128706044</v>
      </c>
    </row>
    <row r="17" spans="1:4" x14ac:dyDescent="0.15">
      <c r="A17" s="2" t="s">
        <v>41</v>
      </c>
      <c r="B17" s="2">
        <v>75087</v>
      </c>
      <c r="C17" s="2">
        <v>8711</v>
      </c>
      <c r="D17" s="2">
        <f t="shared" si="0"/>
        <v>0.11601209263920519</v>
      </c>
    </row>
    <row r="18" spans="1:4" x14ac:dyDescent="0.15">
      <c r="A18" s="2" t="s">
        <v>42</v>
      </c>
      <c r="B18" s="2">
        <v>46101</v>
      </c>
      <c r="C18" s="2">
        <v>6026</v>
      </c>
      <c r="D18" s="2">
        <f t="shared" si="0"/>
        <v>0.13071299971801045</v>
      </c>
    </row>
    <row r="19" spans="1:4" x14ac:dyDescent="0.15">
      <c r="A19" s="2" t="s">
        <v>43</v>
      </c>
      <c r="B19" s="2">
        <v>53851</v>
      </c>
      <c r="C19" s="2">
        <v>7078</v>
      </c>
      <c r="D19" s="2">
        <f t="shared" si="0"/>
        <v>0.13143674212178047</v>
      </c>
    </row>
    <row r="20" spans="1:4" x14ac:dyDescent="0.15">
      <c r="A20" s="2" t="s">
        <v>44</v>
      </c>
      <c r="B20" s="2">
        <v>89429</v>
      </c>
      <c r="C20" s="2">
        <v>7672</v>
      </c>
      <c r="D20" s="2">
        <f t="shared" si="0"/>
        <v>8.578872625211062E-2</v>
      </c>
    </row>
    <row r="21" spans="1:4" x14ac:dyDescent="0.15">
      <c r="A21" s="2" t="s">
        <v>45</v>
      </c>
      <c r="B21" s="2">
        <v>38653</v>
      </c>
      <c r="C21" s="2">
        <v>3930</v>
      </c>
      <c r="D21" s="2">
        <f t="shared" si="0"/>
        <v>0.10167386748764649</v>
      </c>
    </row>
    <row r="22" spans="1:4" x14ac:dyDescent="0.15">
      <c r="A22" s="2" t="s">
        <v>46</v>
      </c>
      <c r="B22" s="2">
        <v>7350</v>
      </c>
      <c r="C22" s="2">
        <v>685</v>
      </c>
      <c r="D22" s="2">
        <f t="shared" si="0"/>
        <v>9.3197278911564624E-2</v>
      </c>
    </row>
    <row r="23" spans="1:4" x14ac:dyDescent="0.15">
      <c r="A23" s="2" t="s">
        <v>47</v>
      </c>
      <c r="B23" s="2">
        <v>24274</v>
      </c>
      <c r="C23" s="2">
        <v>3725</v>
      </c>
      <c r="D23" s="2">
        <f t="shared" si="0"/>
        <v>0.15345637307407103</v>
      </c>
    </row>
    <row r="24" spans="1:4" x14ac:dyDescent="0.15">
      <c r="A24" s="2" t="s">
        <v>48</v>
      </c>
      <c r="B24" s="2">
        <v>65230</v>
      </c>
      <c r="C24" s="2">
        <v>10266</v>
      </c>
      <c r="D24" s="2">
        <f t="shared" si="0"/>
        <v>0.15738157289590679</v>
      </c>
    </row>
    <row r="25" spans="1:4" x14ac:dyDescent="0.15">
      <c r="A25" s="2" t="s">
        <v>49</v>
      </c>
      <c r="B25" s="2">
        <v>28245</v>
      </c>
      <c r="C25" s="2">
        <v>3271</v>
      </c>
      <c r="D25" s="2">
        <f t="shared" si="0"/>
        <v>0.11580810762966896</v>
      </c>
    </row>
    <row r="26" spans="1:4" x14ac:dyDescent="0.15">
      <c r="A26" s="2" t="s">
        <v>50</v>
      </c>
      <c r="B26" s="2">
        <v>37874</v>
      </c>
      <c r="C26" s="2">
        <v>3743</v>
      </c>
      <c r="D26" s="2">
        <f t="shared" si="0"/>
        <v>9.8827691820246075E-2</v>
      </c>
    </row>
    <row r="27" spans="1:4" x14ac:dyDescent="0.15">
      <c r="A27" s="2" t="s">
        <v>51</v>
      </c>
      <c r="B27" s="2">
        <v>30158</v>
      </c>
      <c r="C27" s="2">
        <v>3633</v>
      </c>
      <c r="D27" s="2">
        <f t="shared" si="0"/>
        <v>0.12046554811327011</v>
      </c>
    </row>
    <row r="28" spans="1:4" x14ac:dyDescent="0.15">
      <c r="A28" s="2" t="s">
        <v>52</v>
      </c>
      <c r="B28" s="2">
        <v>20642</v>
      </c>
      <c r="C28" s="2">
        <v>2377</v>
      </c>
      <c r="D28" s="2">
        <f t="shared" si="0"/>
        <v>0.11515357039046605</v>
      </c>
    </row>
    <row r="29" spans="1:4" x14ac:dyDescent="0.15">
      <c r="A29" s="2" t="s">
        <v>53</v>
      </c>
      <c r="B29" s="2">
        <v>4733</v>
      </c>
      <c r="C29" s="2">
        <v>404</v>
      </c>
      <c r="D29" s="2">
        <f t="shared" si="0"/>
        <v>8.5358123811536027E-2</v>
      </c>
    </row>
    <row r="30" spans="1:4" x14ac:dyDescent="0.15">
      <c r="A30" s="2" t="s">
        <v>54</v>
      </c>
      <c r="B30" s="2">
        <v>5404</v>
      </c>
      <c r="C30" s="2">
        <v>514</v>
      </c>
      <c r="D30" s="2">
        <f t="shared" si="0"/>
        <v>9.5114729829755731E-2</v>
      </c>
    </row>
    <row r="31" spans="1:4" x14ac:dyDescent="0.15">
      <c r="A31" s="2" t="s">
        <v>55</v>
      </c>
      <c r="B31" s="2">
        <v>19660</v>
      </c>
      <c r="C31" s="2">
        <v>1586</v>
      </c>
      <c r="D31" s="2">
        <f t="shared" si="0"/>
        <v>8.0671414038657172E-2</v>
      </c>
    </row>
    <row r="32" spans="1:4" x14ac:dyDescent="0.15">
      <c r="A32" s="2"/>
      <c r="B32" s="2"/>
      <c r="C32" s="2"/>
      <c r="D32" s="2"/>
    </row>
    <row r="33" spans="1:4" x14ac:dyDescent="0.15">
      <c r="A33" s="2"/>
      <c r="B33" s="2"/>
      <c r="C33" s="2"/>
      <c r="D33" s="2"/>
    </row>
    <row r="34" spans="1:4" x14ac:dyDescent="0.15">
      <c r="A34" s="2"/>
      <c r="B34" s="2"/>
      <c r="C34" s="2"/>
      <c r="D34" s="2"/>
    </row>
    <row r="35" spans="1:4" x14ac:dyDescent="0.15">
      <c r="A35" s="2"/>
      <c r="B35" s="2"/>
      <c r="C35" s="2"/>
      <c r="D35" s="2"/>
    </row>
    <row r="36" spans="1:4" x14ac:dyDescent="0.15">
      <c r="A36" s="2"/>
      <c r="B36" s="2"/>
      <c r="C36" s="2"/>
      <c r="D36" s="2"/>
    </row>
    <row r="37" spans="1:4" x14ac:dyDescent="0.15">
      <c r="A37" s="2"/>
      <c r="B37" s="2"/>
      <c r="C37" s="2"/>
      <c r="D37" s="2"/>
    </row>
    <row r="38" spans="1:4" x14ac:dyDescent="0.15">
      <c r="A38" s="2"/>
      <c r="B38" s="2"/>
      <c r="C38" s="2"/>
      <c r="D38" s="2"/>
    </row>
    <row r="39" spans="1:4" x14ac:dyDescent="0.15">
      <c r="A39" s="2"/>
      <c r="B39" s="2"/>
      <c r="C39" s="2"/>
      <c r="D39" s="2"/>
    </row>
    <row r="40" spans="1:4" x14ac:dyDescent="0.15">
      <c r="A40" s="2"/>
      <c r="B40" s="2"/>
      <c r="C40" s="2"/>
      <c r="D40" s="2"/>
    </row>
    <row r="41" spans="1:4" x14ac:dyDescent="0.15">
      <c r="A41" s="2"/>
      <c r="B41" s="2"/>
      <c r="C41" s="2"/>
      <c r="D41" s="2"/>
    </row>
    <row r="42" spans="1:4" x14ac:dyDescent="0.15">
      <c r="A42" s="2"/>
      <c r="B42" s="2"/>
      <c r="C42" s="2"/>
      <c r="D42" s="2"/>
    </row>
    <row r="43" spans="1:4" x14ac:dyDescent="0.15">
      <c r="A43" s="2"/>
      <c r="B43" s="2"/>
      <c r="C43" s="2"/>
      <c r="D43" s="2"/>
    </row>
    <row r="44" spans="1:4" x14ac:dyDescent="0.15">
      <c r="A44" s="2"/>
      <c r="B44" s="2"/>
      <c r="C44" s="2"/>
      <c r="D44" s="2"/>
    </row>
    <row r="45" spans="1:4" x14ac:dyDescent="0.15">
      <c r="A45" s="2"/>
      <c r="B45" s="2"/>
      <c r="C45" s="2"/>
      <c r="D45" s="2"/>
    </row>
    <row r="46" spans="1:4" x14ac:dyDescent="0.15">
      <c r="A46" s="2"/>
      <c r="B46" s="2"/>
      <c r="C46" s="2"/>
      <c r="D46" s="2"/>
    </row>
    <row r="47" spans="1:4" x14ac:dyDescent="0.15">
      <c r="A47" s="2"/>
      <c r="B47" s="2"/>
      <c r="C47" s="2"/>
      <c r="D47" s="2"/>
    </row>
    <row r="48" spans="1:4" x14ac:dyDescent="0.15">
      <c r="A48" s="2"/>
      <c r="B48" s="2"/>
      <c r="C48" s="2"/>
      <c r="D48" s="2"/>
    </row>
    <row r="49" spans="1:4" x14ac:dyDescent="0.15">
      <c r="A49" s="2"/>
      <c r="B49" s="2"/>
      <c r="C49" s="2"/>
      <c r="D49" s="2"/>
    </row>
    <row r="50" spans="1:4" x14ac:dyDescent="0.15">
      <c r="A50" s="2"/>
      <c r="B50" s="2"/>
      <c r="C50" s="2"/>
      <c r="D50" s="2"/>
    </row>
    <row r="51" spans="1:4" x14ac:dyDescent="0.15">
      <c r="A51" s="2"/>
      <c r="B51" s="2"/>
      <c r="C51" s="2"/>
      <c r="D51" s="2"/>
    </row>
    <row r="52" spans="1:4" x14ac:dyDescent="0.15">
      <c r="A52" s="2"/>
      <c r="B52" s="2"/>
      <c r="C52" s="2"/>
      <c r="D52" s="2"/>
    </row>
    <row r="53" spans="1:4" x14ac:dyDescent="0.15">
      <c r="A53" s="2"/>
      <c r="B53" s="2"/>
      <c r="C53" s="2"/>
      <c r="D53" s="2"/>
    </row>
    <row r="54" spans="1:4" x14ac:dyDescent="0.15">
      <c r="A54" s="2"/>
      <c r="B54" s="2"/>
      <c r="C54" s="2"/>
      <c r="D54" s="2"/>
    </row>
    <row r="55" spans="1:4" x14ac:dyDescent="0.15">
      <c r="A55" s="2"/>
      <c r="B55" s="2"/>
      <c r="C55" s="2"/>
      <c r="D55" s="2"/>
    </row>
    <row r="56" spans="1:4" x14ac:dyDescent="0.15">
      <c r="A56" s="2"/>
      <c r="B56" s="2"/>
      <c r="C56" s="2"/>
      <c r="D56" s="2"/>
    </row>
    <row r="57" spans="1:4" x14ac:dyDescent="0.15">
      <c r="A57" s="2"/>
      <c r="B57" s="2"/>
      <c r="C57" s="2"/>
      <c r="D57" s="2"/>
    </row>
    <row r="58" spans="1:4" x14ac:dyDescent="0.15">
      <c r="A58" s="2"/>
      <c r="B58" s="2"/>
      <c r="C58" s="2"/>
      <c r="D58" s="2"/>
    </row>
    <row r="59" spans="1:4" x14ac:dyDescent="0.15">
      <c r="A59" s="2"/>
      <c r="B59" s="2"/>
      <c r="C59" s="2"/>
      <c r="D59" s="2"/>
    </row>
    <row r="60" spans="1:4" x14ac:dyDescent="0.15">
      <c r="A60" s="2"/>
      <c r="B60" s="2"/>
      <c r="C60" s="2"/>
      <c r="D60" s="2"/>
    </row>
    <row r="61" spans="1:4" x14ac:dyDescent="0.15">
      <c r="A61" s="2"/>
      <c r="B61" s="2"/>
      <c r="C61" s="2"/>
      <c r="D61" s="2"/>
    </row>
    <row r="62" spans="1:4" x14ac:dyDescent="0.15">
      <c r="A62" s="2"/>
      <c r="B62" s="2"/>
      <c r="C62" s="2"/>
      <c r="D62" s="2"/>
    </row>
    <row r="63" spans="1:4" x14ac:dyDescent="0.15">
      <c r="A63" s="2"/>
      <c r="B63" s="2"/>
      <c r="C63" s="2"/>
      <c r="D63" s="2"/>
    </row>
    <row r="64" spans="1:4" x14ac:dyDescent="0.15">
      <c r="A64" s="2"/>
      <c r="B64" s="2"/>
      <c r="C64" s="2"/>
      <c r="D64" s="2"/>
    </row>
    <row r="65" spans="1:4" x14ac:dyDescent="0.15">
      <c r="A65" s="2"/>
      <c r="B65" s="2"/>
      <c r="C65" s="2"/>
      <c r="D65" s="2"/>
    </row>
    <row r="66" spans="1:4" x14ac:dyDescent="0.15">
      <c r="A66" s="2"/>
      <c r="B66" s="2"/>
      <c r="C66" s="2"/>
      <c r="D66" s="2"/>
    </row>
    <row r="67" spans="1:4" x14ac:dyDescent="0.15">
      <c r="A67" s="2"/>
      <c r="B67" s="2"/>
      <c r="C67" s="2"/>
      <c r="D67" s="2"/>
    </row>
    <row r="68" spans="1:4" x14ac:dyDescent="0.15">
      <c r="A68" s="2"/>
      <c r="B68" s="2"/>
      <c r="C68" s="2"/>
      <c r="D68" s="2"/>
    </row>
    <row r="69" spans="1:4" x14ac:dyDescent="0.15">
      <c r="A69" s="2"/>
      <c r="B69" s="2"/>
      <c r="C69" s="2"/>
      <c r="D69" s="2"/>
    </row>
    <row r="70" spans="1:4" x14ac:dyDescent="0.15">
      <c r="A70" s="2"/>
      <c r="B70" s="2"/>
      <c r="C70" s="2"/>
      <c r="D70" s="2"/>
    </row>
    <row r="71" spans="1:4" x14ac:dyDescent="0.15">
      <c r="A71" s="2"/>
      <c r="B71" s="2"/>
      <c r="C71" s="2"/>
      <c r="D71" s="2"/>
    </row>
    <row r="72" spans="1:4" x14ac:dyDescent="0.15">
      <c r="A72" s="2"/>
      <c r="B72" s="2"/>
      <c r="C72" s="2"/>
      <c r="D72" s="2"/>
    </row>
    <row r="73" spans="1:4" x14ac:dyDescent="0.15">
      <c r="A73" s="2"/>
      <c r="B73" s="2"/>
      <c r="C73" s="2"/>
      <c r="D73" s="2"/>
    </row>
    <row r="74" spans="1:4" x14ac:dyDescent="0.15">
      <c r="A74" s="2"/>
      <c r="B74" s="2"/>
      <c r="C74" s="2"/>
      <c r="D74" s="2"/>
    </row>
    <row r="75" spans="1:4" x14ac:dyDescent="0.15">
      <c r="A75" s="2"/>
      <c r="B75" s="2"/>
      <c r="C75" s="2"/>
      <c r="D75" s="2"/>
    </row>
    <row r="76" spans="1:4" x14ac:dyDescent="0.15">
      <c r="A76" s="2"/>
      <c r="B76" s="2"/>
      <c r="C76" s="2"/>
      <c r="D76" s="2"/>
    </row>
    <row r="77" spans="1:4" x14ac:dyDescent="0.15">
      <c r="A77" s="2"/>
      <c r="B77" s="2"/>
      <c r="C77" s="2"/>
      <c r="D77" s="2"/>
    </row>
    <row r="78" spans="1:4" x14ac:dyDescent="0.15">
      <c r="A78" s="2"/>
      <c r="B78" s="2"/>
      <c r="C78" s="2"/>
      <c r="D78" s="2"/>
    </row>
    <row r="79" spans="1:4" x14ac:dyDescent="0.15">
      <c r="A79" s="2"/>
      <c r="B79" s="2"/>
      <c r="C79" s="2"/>
      <c r="D79" s="2"/>
    </row>
    <row r="80" spans="1:4" x14ac:dyDescent="0.15">
      <c r="A80" s="2"/>
      <c r="B80" s="2"/>
      <c r="C80" s="2"/>
      <c r="D80" s="2"/>
    </row>
    <row r="81" spans="1:4" x14ac:dyDescent="0.15">
      <c r="A81" s="2"/>
      <c r="B81" s="2"/>
      <c r="C81" s="2"/>
      <c r="D81" s="2"/>
    </row>
    <row r="82" spans="1:4" x14ac:dyDescent="0.15">
      <c r="A82" s="2"/>
      <c r="B82" s="2"/>
      <c r="C82" s="2"/>
      <c r="D82" s="2"/>
    </row>
    <row r="83" spans="1:4" x14ac:dyDescent="0.15">
      <c r="A83" s="2"/>
      <c r="B83" s="2"/>
      <c r="C83" s="2"/>
      <c r="D83" s="2"/>
    </row>
    <row r="84" spans="1:4" x14ac:dyDescent="0.15">
      <c r="A84" s="2"/>
      <c r="B84" s="2"/>
      <c r="C84" s="2"/>
      <c r="D84" s="2"/>
    </row>
    <row r="85" spans="1:4" x14ac:dyDescent="0.15">
      <c r="A85" s="2"/>
      <c r="B85" s="2"/>
      <c r="C85" s="2"/>
      <c r="D85" s="2"/>
    </row>
    <row r="86" spans="1:4" x14ac:dyDescent="0.15">
      <c r="A86" s="2"/>
      <c r="B86" s="2"/>
      <c r="C86" s="2"/>
      <c r="D86" s="2"/>
    </row>
    <row r="87" spans="1:4" x14ac:dyDescent="0.15">
      <c r="A87" s="2"/>
      <c r="B87" s="2"/>
      <c r="C87" s="2"/>
      <c r="D87" s="2"/>
    </row>
    <row r="88" spans="1:4" x14ac:dyDescent="0.15">
      <c r="A88" s="2"/>
      <c r="B88" s="2"/>
      <c r="C88" s="2"/>
      <c r="D88" s="2"/>
    </row>
    <row r="89" spans="1:4" x14ac:dyDescent="0.15">
      <c r="A89" s="2"/>
      <c r="B89" s="2"/>
      <c r="C89" s="2"/>
      <c r="D89" s="2"/>
    </row>
    <row r="90" spans="1:4" x14ac:dyDescent="0.15">
      <c r="A90" s="2"/>
      <c r="B90" s="2"/>
      <c r="C90" s="2"/>
      <c r="D90" s="2"/>
    </row>
    <row r="91" spans="1:4" x14ac:dyDescent="0.15">
      <c r="A91" s="2"/>
      <c r="B91" s="2"/>
      <c r="C91" s="2"/>
      <c r="D91" s="2"/>
    </row>
    <row r="92" spans="1:4" x14ac:dyDescent="0.15">
      <c r="A92" s="2"/>
      <c r="B92" s="2"/>
      <c r="C92" s="2"/>
      <c r="D92" s="2"/>
    </row>
    <row r="93" spans="1:4" x14ac:dyDescent="0.15">
      <c r="A93" s="2"/>
      <c r="B93" s="2"/>
      <c r="C93" s="2"/>
      <c r="D93" s="2"/>
    </row>
    <row r="94" spans="1:4" x14ac:dyDescent="0.15">
      <c r="A94" s="2"/>
      <c r="B94" s="2"/>
      <c r="C94" s="2"/>
      <c r="D94" s="2"/>
    </row>
    <row r="95" spans="1:4" x14ac:dyDescent="0.15">
      <c r="A95" s="2"/>
      <c r="B95" s="2"/>
      <c r="C95" s="2"/>
      <c r="D95" s="2"/>
    </row>
    <row r="96" spans="1:4" x14ac:dyDescent="0.15">
      <c r="A96" s="2"/>
      <c r="B96" s="2"/>
      <c r="C96" s="2"/>
      <c r="D96" s="2"/>
    </row>
    <row r="97" spans="1:4" x14ac:dyDescent="0.15">
      <c r="A97" s="2"/>
      <c r="B97" s="2"/>
      <c r="C97" s="2"/>
      <c r="D97" s="2"/>
    </row>
    <row r="98" spans="1:4" x14ac:dyDescent="0.15">
      <c r="A98" s="2"/>
      <c r="B98" s="2"/>
      <c r="C98" s="2"/>
      <c r="D98" s="2"/>
    </row>
    <row r="99" spans="1:4" x14ac:dyDescent="0.15">
      <c r="A99" s="2"/>
      <c r="B99" s="2"/>
      <c r="C99" s="2"/>
      <c r="D99" s="2"/>
    </row>
    <row r="100" spans="1:4" x14ac:dyDescent="0.15">
      <c r="A100" s="2"/>
      <c r="B100" s="2"/>
      <c r="C100" s="2"/>
      <c r="D100" s="2"/>
    </row>
    <row r="101" spans="1:4" x14ac:dyDescent="0.15">
      <c r="A101" s="2"/>
      <c r="B101" s="2"/>
      <c r="C101" s="2"/>
      <c r="D101" s="2"/>
    </row>
    <row r="102" spans="1:4" x14ac:dyDescent="0.15">
      <c r="A102" s="2"/>
      <c r="B102" s="2"/>
      <c r="C102" s="2"/>
      <c r="D102" s="2"/>
    </row>
    <row r="103" spans="1:4" x14ac:dyDescent="0.15">
      <c r="A103" s="2"/>
      <c r="B103" s="2"/>
      <c r="C103" s="2"/>
      <c r="D103" s="2"/>
    </row>
    <row r="104" spans="1:4" x14ac:dyDescent="0.15">
      <c r="A104" s="2"/>
      <c r="B104" s="2"/>
      <c r="C104" s="2"/>
      <c r="D104" s="2"/>
    </row>
    <row r="105" spans="1:4" x14ac:dyDescent="0.15">
      <c r="A105" s="2"/>
      <c r="B105" s="2"/>
      <c r="C105" s="2"/>
      <c r="D105" s="2"/>
    </row>
    <row r="106" spans="1:4" x14ac:dyDescent="0.15">
      <c r="A106" s="2"/>
      <c r="B106" s="2"/>
      <c r="C106" s="2"/>
      <c r="D106" s="2"/>
    </row>
    <row r="107" spans="1:4" x14ac:dyDescent="0.15">
      <c r="A107" s="2"/>
      <c r="B107" s="2"/>
      <c r="C107" s="2"/>
      <c r="D107" s="2"/>
    </row>
    <row r="108" spans="1:4" x14ac:dyDescent="0.15">
      <c r="A108" s="2"/>
      <c r="B108" s="2"/>
      <c r="C108" s="2"/>
      <c r="D108" s="2"/>
    </row>
    <row r="109" spans="1:4" x14ac:dyDescent="0.15">
      <c r="A109" s="2"/>
      <c r="B109" s="2"/>
      <c r="C109" s="2"/>
      <c r="D109" s="2"/>
    </row>
    <row r="110" spans="1:4" x14ac:dyDescent="0.15">
      <c r="A110" s="2"/>
      <c r="B110" s="2"/>
      <c r="C110" s="2"/>
      <c r="D110" s="2"/>
    </row>
    <row r="111" spans="1:4" x14ac:dyDescent="0.15">
      <c r="A111" s="2"/>
      <c r="B111" s="2"/>
      <c r="C111" s="2"/>
      <c r="D111" s="2"/>
    </row>
    <row r="112" spans="1:4" x14ac:dyDescent="0.15">
      <c r="A112" s="2"/>
      <c r="B112" s="2"/>
      <c r="C112" s="2"/>
      <c r="D112" s="2"/>
    </row>
    <row r="113" spans="1:4" x14ac:dyDescent="0.15">
      <c r="A113" s="2"/>
      <c r="B113" s="2"/>
      <c r="C113" s="2"/>
      <c r="D113" s="2"/>
    </row>
    <row r="114" spans="1:4" x14ac:dyDescent="0.15">
      <c r="A114" s="2"/>
      <c r="B114" s="2"/>
      <c r="C114" s="2"/>
      <c r="D114" s="2"/>
    </row>
    <row r="115" spans="1:4" x14ac:dyDescent="0.15">
      <c r="A115" s="2"/>
      <c r="B115" s="2"/>
      <c r="C115" s="2"/>
      <c r="D115" s="2"/>
    </row>
    <row r="116" spans="1:4" x14ac:dyDescent="0.15">
      <c r="A116" s="2"/>
      <c r="B116" s="2"/>
      <c r="C116" s="2"/>
      <c r="D116" s="2"/>
    </row>
    <row r="117" spans="1:4" x14ac:dyDescent="0.15">
      <c r="A117" s="2"/>
      <c r="B117" s="2"/>
      <c r="C117" s="2"/>
      <c r="D117" s="2"/>
    </row>
    <row r="118" spans="1:4" x14ac:dyDescent="0.15">
      <c r="A118" s="2"/>
      <c r="B118" s="2"/>
      <c r="C118" s="2"/>
      <c r="D118" s="2"/>
    </row>
    <row r="119" spans="1:4" x14ac:dyDescent="0.15">
      <c r="A119" s="2"/>
      <c r="B119" s="2"/>
      <c r="C119" s="2"/>
      <c r="D119" s="2"/>
    </row>
    <row r="120" spans="1:4" x14ac:dyDescent="0.15">
      <c r="A120" s="2"/>
      <c r="B120" s="2"/>
      <c r="C120" s="2"/>
      <c r="D120" s="2"/>
    </row>
    <row r="121" spans="1:4" x14ac:dyDescent="0.15">
      <c r="A121" s="2"/>
      <c r="B121" s="2"/>
      <c r="C121" s="2"/>
      <c r="D121" s="2"/>
    </row>
    <row r="122" spans="1:4" x14ac:dyDescent="0.15">
      <c r="A122" s="2"/>
      <c r="B122" s="2"/>
      <c r="C122" s="2"/>
      <c r="D122" s="2"/>
    </row>
    <row r="123" spans="1:4" x14ac:dyDescent="0.15">
      <c r="A123" s="2"/>
      <c r="B123" s="2"/>
      <c r="C123" s="2"/>
      <c r="D123" s="2"/>
    </row>
    <row r="124" spans="1:4" x14ac:dyDescent="0.15">
      <c r="A124" s="2"/>
      <c r="B124" s="2"/>
      <c r="C124" s="2"/>
      <c r="D124" s="2"/>
    </row>
    <row r="125" spans="1:4" x14ac:dyDescent="0.15">
      <c r="A125" s="2"/>
      <c r="B125" s="2"/>
      <c r="C125" s="2"/>
      <c r="D125" s="2"/>
    </row>
    <row r="126" spans="1:4" x14ac:dyDescent="0.15">
      <c r="A126" s="2"/>
      <c r="B126" s="2"/>
      <c r="C126" s="2"/>
      <c r="D126" s="2"/>
    </row>
    <row r="127" spans="1:4" x14ac:dyDescent="0.15">
      <c r="A127" s="2"/>
      <c r="B127" s="2"/>
      <c r="C127" s="2"/>
      <c r="D127" s="2"/>
    </row>
    <row r="128" spans="1:4" x14ac:dyDescent="0.15">
      <c r="A128" s="2"/>
      <c r="B128" s="2"/>
      <c r="C128" s="2"/>
      <c r="D128" s="2"/>
    </row>
    <row r="129" spans="1:4" x14ac:dyDescent="0.15">
      <c r="A129" s="2"/>
      <c r="B129" s="2"/>
      <c r="C129" s="2"/>
      <c r="D129" s="2"/>
    </row>
    <row r="130" spans="1:4" x14ac:dyDescent="0.15">
      <c r="A130" s="2"/>
      <c r="B130" s="2"/>
      <c r="C130" s="2"/>
      <c r="D130" s="2"/>
    </row>
    <row r="131" spans="1:4" x14ac:dyDescent="0.15">
      <c r="A131" s="2"/>
      <c r="B131" s="2"/>
      <c r="C131" s="2"/>
      <c r="D131" s="2"/>
    </row>
    <row r="132" spans="1:4" x14ac:dyDescent="0.15">
      <c r="A132" s="2"/>
      <c r="B132" s="2"/>
      <c r="C132" s="2"/>
      <c r="D132" s="2"/>
    </row>
    <row r="133" spans="1:4" x14ac:dyDescent="0.15">
      <c r="A133" s="2"/>
      <c r="B133" s="2"/>
      <c r="C133" s="2"/>
      <c r="D133" s="2"/>
    </row>
    <row r="134" spans="1:4" x14ac:dyDescent="0.15">
      <c r="A134" s="2"/>
      <c r="B134" s="2"/>
      <c r="C134" s="2"/>
      <c r="D134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5981-302F-48AA-8337-C2A4628C92C1}">
  <dimension ref="A1:X31"/>
  <sheetViews>
    <sheetView workbookViewId="0">
      <pane xSplit="1" topLeftCell="B1" activePane="topRight" state="frozen"/>
      <selection pane="topRight" sqref="A1:A1048576"/>
    </sheetView>
  </sheetViews>
  <sheetFormatPr defaultRowHeight="13.5" x14ac:dyDescent="0.15"/>
  <cols>
    <col min="1" max="1" width="26.625" style="2" customWidth="1"/>
    <col min="2" max="5" width="11.75" style="2" customWidth="1"/>
    <col min="6" max="11" width="8.875" style="2"/>
    <col min="12" max="12" width="14" style="2" customWidth="1"/>
    <col min="13" max="13" width="22.25" style="2" customWidth="1"/>
    <col min="14" max="14" width="23.875" style="2" customWidth="1"/>
    <col min="15" max="24" width="8.875" style="2"/>
  </cols>
  <sheetData>
    <row r="1" spans="1:15" x14ac:dyDescent="0.15">
      <c r="A1" s="3" t="s">
        <v>0</v>
      </c>
      <c r="B1" s="4" t="s">
        <v>59</v>
      </c>
      <c r="C1" s="4" t="s">
        <v>62</v>
      </c>
      <c r="D1" s="4" t="s">
        <v>63</v>
      </c>
      <c r="E1" s="4" t="s">
        <v>64</v>
      </c>
      <c r="F1" s="4" t="s">
        <v>60</v>
      </c>
      <c r="G1" s="4" t="s">
        <v>66</v>
      </c>
      <c r="H1" s="4" t="s">
        <v>67</v>
      </c>
      <c r="I1" s="4" t="s">
        <v>65</v>
      </c>
      <c r="J1" s="4" t="s">
        <v>61</v>
      </c>
      <c r="L1" s="2" t="s">
        <v>68</v>
      </c>
      <c r="M1" s="2" t="s">
        <v>69</v>
      </c>
      <c r="N1" s="2" t="s">
        <v>70</v>
      </c>
      <c r="O1" s="2" t="s">
        <v>61</v>
      </c>
    </row>
    <row r="2" spans="1:15" x14ac:dyDescent="0.15">
      <c r="A2" s="2" t="s">
        <v>26</v>
      </c>
      <c r="B2" s="2">
        <v>15743</v>
      </c>
      <c r="C2" s="2">
        <v>311</v>
      </c>
      <c r="D2" s="2">
        <v>2112</v>
      </c>
      <c r="E2" s="2">
        <v>940</v>
      </c>
      <c r="F2" s="2">
        <f>D2+E2</f>
        <v>3052</v>
      </c>
      <c r="G2" s="2">
        <v>2390</v>
      </c>
      <c r="H2" s="2">
        <v>4232</v>
      </c>
      <c r="I2" s="2">
        <f>G2+H2</f>
        <v>6622</v>
      </c>
      <c r="J2" s="2">
        <v>1326</v>
      </c>
      <c r="L2" s="2">
        <f>(B2-C2)/B2</f>
        <v>0.98024518833767393</v>
      </c>
      <c r="M2" s="2">
        <f>(F2+I2+J2)/B2</f>
        <v>0.69872324207584324</v>
      </c>
      <c r="N2" s="2">
        <f>(I2+J2)/B2</f>
        <v>0.50485930254716382</v>
      </c>
      <c r="O2" s="2">
        <f>J2/B2</f>
        <v>8.4227910817506191E-2</v>
      </c>
    </row>
    <row r="3" spans="1:15" x14ac:dyDescent="0.15">
      <c r="A3" s="2" t="s">
        <v>27</v>
      </c>
      <c r="B3" s="2">
        <v>11563</v>
      </c>
      <c r="C3" s="2">
        <v>247</v>
      </c>
      <c r="D3" s="2">
        <v>1534</v>
      </c>
      <c r="E3" s="2">
        <v>1099</v>
      </c>
      <c r="F3" s="2">
        <f t="shared" ref="F3:F31" si="0">D3+E3</f>
        <v>2633</v>
      </c>
      <c r="G3" s="2">
        <v>1503</v>
      </c>
      <c r="H3" s="2">
        <v>1659</v>
      </c>
      <c r="I3" s="2">
        <f t="shared" ref="I3:I31" si="1">G3+H3</f>
        <v>3162</v>
      </c>
      <c r="J3" s="2">
        <v>176</v>
      </c>
      <c r="L3" s="2">
        <f t="shared" ref="L3:L31" si="2">(B3-C3)/B3</f>
        <v>0.97863876156706742</v>
      </c>
      <c r="M3" s="2">
        <f t="shared" ref="M3:M31" si="3">(F3+I3+J3)/B3</f>
        <v>0.51638848049814057</v>
      </c>
      <c r="N3" s="2">
        <f t="shared" ref="N3:N31" si="4">(I3+J3)/B3</f>
        <v>0.28867940845801265</v>
      </c>
      <c r="O3" s="2">
        <f t="shared" ref="O3:O31" si="5">J3/B3</f>
        <v>1.5220963417798149E-2</v>
      </c>
    </row>
    <row r="4" spans="1:15" x14ac:dyDescent="0.15">
      <c r="A4" s="2" t="s">
        <v>28</v>
      </c>
      <c r="B4" s="2">
        <v>54846</v>
      </c>
      <c r="C4" s="2">
        <v>1950</v>
      </c>
      <c r="D4" s="2">
        <v>7350</v>
      </c>
      <c r="E4" s="2">
        <v>2207</v>
      </c>
      <c r="F4" s="2">
        <f t="shared" si="0"/>
        <v>9557</v>
      </c>
      <c r="G4" s="2">
        <v>3822</v>
      </c>
      <c r="H4" s="2">
        <v>2242</v>
      </c>
      <c r="I4" s="2">
        <f t="shared" si="1"/>
        <v>6064</v>
      </c>
      <c r="J4" s="2">
        <v>142</v>
      </c>
      <c r="L4" s="2">
        <f t="shared" si="2"/>
        <v>0.96444590307406197</v>
      </c>
      <c r="M4" s="2">
        <f t="shared" si="3"/>
        <v>0.28740473325310872</v>
      </c>
      <c r="N4" s="2">
        <f t="shared" si="4"/>
        <v>0.11315319257557525</v>
      </c>
      <c r="O4" s="2">
        <f t="shared" si="5"/>
        <v>2.5890675710170297E-3</v>
      </c>
    </row>
    <row r="5" spans="1:15" x14ac:dyDescent="0.15">
      <c r="A5" s="2" t="s">
        <v>29</v>
      </c>
      <c r="B5" s="2">
        <v>27220</v>
      </c>
      <c r="C5" s="2">
        <v>650</v>
      </c>
      <c r="D5" s="2">
        <v>3915</v>
      </c>
      <c r="E5" s="2">
        <v>1376</v>
      </c>
      <c r="F5" s="2">
        <f t="shared" si="0"/>
        <v>5291</v>
      </c>
      <c r="G5" s="2">
        <v>2339</v>
      </c>
      <c r="H5" s="2">
        <v>1654</v>
      </c>
      <c r="I5" s="2">
        <f t="shared" si="1"/>
        <v>3993</v>
      </c>
      <c r="J5" s="2">
        <v>131</v>
      </c>
      <c r="L5" s="2">
        <f t="shared" si="2"/>
        <v>0.97612049963262304</v>
      </c>
      <c r="M5" s="2">
        <f t="shared" si="3"/>
        <v>0.34588537839823658</v>
      </c>
      <c r="N5" s="2">
        <f t="shared" si="4"/>
        <v>0.1515062454077884</v>
      </c>
      <c r="O5" s="2">
        <f t="shared" si="5"/>
        <v>4.8126377663482737E-3</v>
      </c>
    </row>
    <row r="6" spans="1:15" x14ac:dyDescent="0.15">
      <c r="A6" s="2" t="s">
        <v>30</v>
      </c>
      <c r="B6" s="2">
        <v>18679</v>
      </c>
      <c r="C6" s="2">
        <v>885</v>
      </c>
      <c r="D6" s="2">
        <v>2459</v>
      </c>
      <c r="E6" s="2">
        <v>725</v>
      </c>
      <c r="F6" s="2">
        <f t="shared" si="0"/>
        <v>3184</v>
      </c>
      <c r="G6" s="2">
        <v>2016</v>
      </c>
      <c r="H6" s="2">
        <v>1740</v>
      </c>
      <c r="I6" s="2">
        <f t="shared" si="1"/>
        <v>3756</v>
      </c>
      <c r="J6" s="2">
        <v>83</v>
      </c>
      <c r="L6" s="2">
        <f t="shared" si="2"/>
        <v>0.952620589967343</v>
      </c>
      <c r="M6" s="2">
        <f t="shared" si="3"/>
        <v>0.37598372503881367</v>
      </c>
      <c r="N6" s="2">
        <f t="shared" si="4"/>
        <v>0.2055249210343166</v>
      </c>
      <c r="O6" s="2">
        <f t="shared" si="5"/>
        <v>4.4434926923282835E-3</v>
      </c>
    </row>
    <row r="7" spans="1:15" x14ac:dyDescent="0.15">
      <c r="A7" s="2" t="s">
        <v>31</v>
      </c>
      <c r="B7" s="2">
        <v>32513</v>
      </c>
      <c r="C7" s="2">
        <v>611</v>
      </c>
      <c r="D7" s="2">
        <v>3993</v>
      </c>
      <c r="E7" s="2">
        <v>1559</v>
      </c>
      <c r="F7" s="2">
        <f t="shared" si="0"/>
        <v>5552</v>
      </c>
      <c r="G7" s="2">
        <v>2877</v>
      </c>
      <c r="H7" s="2">
        <v>2472</v>
      </c>
      <c r="I7" s="2">
        <f t="shared" si="1"/>
        <v>5349</v>
      </c>
      <c r="J7" s="2">
        <v>227</v>
      </c>
      <c r="L7" s="2">
        <f t="shared" si="2"/>
        <v>0.98120751699320274</v>
      </c>
      <c r="M7" s="2">
        <f t="shared" si="3"/>
        <v>0.34226309476209515</v>
      </c>
      <c r="N7" s="2">
        <f t="shared" si="4"/>
        <v>0.17150063051702397</v>
      </c>
      <c r="O7" s="2">
        <f t="shared" si="5"/>
        <v>6.9818226555531633E-3</v>
      </c>
    </row>
    <row r="8" spans="1:15" x14ac:dyDescent="0.15">
      <c r="A8" s="2" t="s">
        <v>32</v>
      </c>
      <c r="B8" s="2">
        <v>20081</v>
      </c>
      <c r="C8" s="2">
        <v>558</v>
      </c>
      <c r="D8" s="2">
        <v>2734</v>
      </c>
      <c r="E8" s="2">
        <v>714</v>
      </c>
      <c r="F8" s="2">
        <f t="shared" si="0"/>
        <v>3448</v>
      </c>
      <c r="G8" s="2">
        <v>1205</v>
      </c>
      <c r="H8" s="2">
        <v>1216</v>
      </c>
      <c r="I8" s="2">
        <f t="shared" si="1"/>
        <v>2421</v>
      </c>
      <c r="J8" s="2">
        <v>178</v>
      </c>
      <c r="L8" s="2">
        <f t="shared" si="2"/>
        <v>0.97221253921617445</v>
      </c>
      <c r="M8" s="2">
        <f t="shared" si="3"/>
        <v>0.30113042179174343</v>
      </c>
      <c r="N8" s="2">
        <f t="shared" si="4"/>
        <v>0.12942582540710124</v>
      </c>
      <c r="O8" s="2">
        <f t="shared" si="5"/>
        <v>8.8641003934067028E-3</v>
      </c>
    </row>
    <row r="9" spans="1:15" x14ac:dyDescent="0.15">
      <c r="A9" s="2" t="s">
        <v>33</v>
      </c>
      <c r="B9" s="2">
        <v>28312</v>
      </c>
      <c r="C9" s="2">
        <v>868</v>
      </c>
      <c r="D9" s="2">
        <v>3928</v>
      </c>
      <c r="E9" s="2">
        <v>882</v>
      </c>
      <c r="F9" s="2">
        <f t="shared" si="0"/>
        <v>4810</v>
      </c>
      <c r="G9" s="2">
        <v>2151</v>
      </c>
      <c r="H9" s="2">
        <v>1808</v>
      </c>
      <c r="I9" s="2">
        <f t="shared" si="1"/>
        <v>3959</v>
      </c>
      <c r="J9" s="2">
        <v>109</v>
      </c>
      <c r="L9" s="2">
        <f t="shared" si="2"/>
        <v>0.96934162192709805</v>
      </c>
      <c r="M9" s="2">
        <f t="shared" si="3"/>
        <v>0.31357728171799942</v>
      </c>
      <c r="N9" s="2">
        <f t="shared" si="4"/>
        <v>0.14368465668267871</v>
      </c>
      <c r="O9" s="2">
        <f t="shared" si="5"/>
        <v>3.8499576151455215E-3</v>
      </c>
    </row>
    <row r="10" spans="1:15" x14ac:dyDescent="0.15">
      <c r="A10" s="2" t="s">
        <v>34</v>
      </c>
      <c r="B10" s="2">
        <v>17882</v>
      </c>
      <c r="C10" s="2">
        <v>536</v>
      </c>
      <c r="D10" s="2">
        <v>2715</v>
      </c>
      <c r="E10" s="2">
        <v>1240</v>
      </c>
      <c r="F10" s="2">
        <f t="shared" si="0"/>
        <v>3955</v>
      </c>
      <c r="G10" s="2">
        <v>2202</v>
      </c>
      <c r="H10" s="2">
        <v>2794</v>
      </c>
      <c r="I10" s="2">
        <f t="shared" si="1"/>
        <v>4996</v>
      </c>
      <c r="J10" s="2">
        <v>500</v>
      </c>
      <c r="L10" s="2">
        <f t="shared" si="2"/>
        <v>0.97002572419192479</v>
      </c>
      <c r="M10" s="2">
        <f t="shared" si="3"/>
        <v>0.52852029974275805</v>
      </c>
      <c r="N10" s="2">
        <f t="shared" si="4"/>
        <v>0.30734817134548709</v>
      </c>
      <c r="O10" s="2">
        <f t="shared" si="5"/>
        <v>2.7961078179174589E-2</v>
      </c>
    </row>
    <row r="11" spans="1:15" x14ac:dyDescent="0.15">
      <c r="A11" s="2" t="s">
        <v>35</v>
      </c>
      <c r="B11" s="2">
        <v>59066</v>
      </c>
      <c r="C11" s="2">
        <v>3156</v>
      </c>
      <c r="D11" s="2">
        <v>7734</v>
      </c>
      <c r="E11" s="2">
        <v>3410</v>
      </c>
      <c r="F11" s="2">
        <f t="shared" si="0"/>
        <v>11144</v>
      </c>
      <c r="G11" s="2">
        <v>5307</v>
      </c>
      <c r="H11" s="2">
        <v>4623</v>
      </c>
      <c r="I11" s="2">
        <f t="shared" si="1"/>
        <v>9930</v>
      </c>
      <c r="J11" s="2">
        <v>441</v>
      </c>
      <c r="L11" s="2">
        <f t="shared" si="2"/>
        <v>0.94656824569126063</v>
      </c>
      <c r="M11" s="2">
        <f t="shared" si="3"/>
        <v>0.36425354687976164</v>
      </c>
      <c r="N11" s="2">
        <f t="shared" si="4"/>
        <v>0.17558324586056276</v>
      </c>
      <c r="O11" s="2">
        <f t="shared" si="5"/>
        <v>7.4662242237497041E-3</v>
      </c>
    </row>
    <row r="12" spans="1:15" x14ac:dyDescent="0.15">
      <c r="A12" s="2" t="s">
        <v>36</v>
      </c>
      <c r="B12" s="2">
        <v>42727</v>
      </c>
      <c r="C12" s="2">
        <v>2320</v>
      </c>
      <c r="D12" s="2">
        <v>5731</v>
      </c>
      <c r="E12" s="2">
        <v>1409</v>
      </c>
      <c r="F12" s="2">
        <f t="shared" si="0"/>
        <v>7140</v>
      </c>
      <c r="G12" s="2">
        <v>3620</v>
      </c>
      <c r="H12" s="2">
        <v>3108</v>
      </c>
      <c r="I12" s="2">
        <f t="shared" si="1"/>
        <v>6728</v>
      </c>
      <c r="J12" s="2">
        <v>300</v>
      </c>
      <c r="L12" s="2">
        <f t="shared" si="2"/>
        <v>0.94570178107519831</v>
      </c>
      <c r="M12" s="2">
        <f t="shared" si="3"/>
        <v>0.3315936059166335</v>
      </c>
      <c r="N12" s="2">
        <f t="shared" si="4"/>
        <v>0.16448615629461463</v>
      </c>
      <c r="O12" s="2">
        <f t="shared" si="5"/>
        <v>7.021321412689868E-3</v>
      </c>
    </row>
    <row r="13" spans="1:15" x14ac:dyDescent="0.15">
      <c r="A13" s="2" t="s">
        <v>37</v>
      </c>
      <c r="B13" s="2">
        <v>45814</v>
      </c>
      <c r="C13" s="2">
        <v>3254</v>
      </c>
      <c r="D13" s="2">
        <v>5203</v>
      </c>
      <c r="E13" s="2">
        <v>1504</v>
      </c>
      <c r="F13" s="2">
        <f t="shared" si="0"/>
        <v>6707</v>
      </c>
      <c r="G13" s="2">
        <v>3157</v>
      </c>
      <c r="H13" s="2">
        <v>2269</v>
      </c>
      <c r="I13" s="2">
        <f t="shared" si="1"/>
        <v>5426</v>
      </c>
      <c r="J13" s="2">
        <v>163</v>
      </c>
      <c r="L13" s="2">
        <f t="shared" si="2"/>
        <v>0.92897367616885673</v>
      </c>
      <c r="M13" s="2">
        <f t="shared" si="3"/>
        <v>0.26838957523900991</v>
      </c>
      <c r="N13" s="2">
        <f t="shared" si="4"/>
        <v>0.12199327716418562</v>
      </c>
      <c r="O13" s="2">
        <f t="shared" si="5"/>
        <v>3.5578644082594839E-3</v>
      </c>
    </row>
    <row r="14" spans="1:15" x14ac:dyDescent="0.15">
      <c r="A14" s="2" t="s">
        <v>38</v>
      </c>
      <c r="B14" s="2">
        <v>28469</v>
      </c>
      <c r="C14" s="2">
        <v>1974</v>
      </c>
      <c r="D14" s="2">
        <v>3127</v>
      </c>
      <c r="E14" s="2">
        <v>1374</v>
      </c>
      <c r="F14" s="2">
        <f t="shared" si="0"/>
        <v>4501</v>
      </c>
      <c r="G14" s="2">
        <v>1730</v>
      </c>
      <c r="H14" s="2">
        <v>1390</v>
      </c>
      <c r="I14" s="2">
        <f t="shared" si="1"/>
        <v>3120</v>
      </c>
      <c r="J14" s="2">
        <v>71</v>
      </c>
      <c r="L14" s="2">
        <f t="shared" si="2"/>
        <v>0.93066142119498407</v>
      </c>
      <c r="M14" s="2">
        <f t="shared" si="3"/>
        <v>0.27018862622501666</v>
      </c>
      <c r="N14" s="2">
        <f t="shared" si="4"/>
        <v>0.11208683129017528</v>
      </c>
      <c r="O14" s="2">
        <f t="shared" si="5"/>
        <v>2.4939407776880117E-3</v>
      </c>
    </row>
    <row r="15" spans="1:15" x14ac:dyDescent="0.15">
      <c r="A15" s="2" t="s">
        <v>39</v>
      </c>
      <c r="B15" s="2">
        <v>33644</v>
      </c>
      <c r="C15" s="2">
        <v>1161</v>
      </c>
      <c r="D15" s="2">
        <v>4894</v>
      </c>
      <c r="E15" s="2">
        <v>1249</v>
      </c>
      <c r="F15" s="2">
        <f t="shared" si="0"/>
        <v>6143</v>
      </c>
      <c r="G15" s="2">
        <v>2087</v>
      </c>
      <c r="H15" s="2">
        <v>1928</v>
      </c>
      <c r="I15" s="2">
        <f t="shared" si="1"/>
        <v>4015</v>
      </c>
      <c r="J15" s="2">
        <v>70</v>
      </c>
      <c r="L15" s="2">
        <f t="shared" si="2"/>
        <v>0.96549161811912976</v>
      </c>
      <c r="M15" s="2">
        <f t="shared" si="3"/>
        <v>0.30400665794792536</v>
      </c>
      <c r="N15" s="2">
        <f t="shared" si="4"/>
        <v>0.12141838069195102</v>
      </c>
      <c r="O15" s="2">
        <f t="shared" si="5"/>
        <v>2.0806087266674591E-3</v>
      </c>
    </row>
    <row r="16" spans="1:15" x14ac:dyDescent="0.15">
      <c r="A16" s="2" t="s">
        <v>40</v>
      </c>
      <c r="B16" s="2">
        <v>71976</v>
      </c>
      <c r="C16" s="2">
        <v>5373</v>
      </c>
      <c r="D16" s="2">
        <v>7993</v>
      </c>
      <c r="E16" s="2">
        <v>4016</v>
      </c>
      <c r="F16" s="2">
        <f t="shared" si="0"/>
        <v>12009</v>
      </c>
      <c r="G16" s="2">
        <v>5320</v>
      </c>
      <c r="H16" s="2">
        <v>4000</v>
      </c>
      <c r="I16" s="2">
        <f t="shared" si="1"/>
        <v>9320</v>
      </c>
      <c r="J16" s="2">
        <v>324</v>
      </c>
      <c r="L16" s="2">
        <f t="shared" si="2"/>
        <v>0.92535011670556855</v>
      </c>
      <c r="M16" s="2">
        <f t="shared" si="3"/>
        <v>0.30083638990774703</v>
      </c>
      <c r="N16" s="2">
        <f t="shared" si="4"/>
        <v>0.13398910748027121</v>
      </c>
      <c r="O16" s="2">
        <f t="shared" si="5"/>
        <v>4.5015005001667226E-3</v>
      </c>
    </row>
    <row r="17" spans="1:15" x14ac:dyDescent="0.15">
      <c r="A17" s="2" t="s">
        <v>41</v>
      </c>
      <c r="B17" s="2">
        <v>69188</v>
      </c>
      <c r="C17" s="2">
        <v>3542</v>
      </c>
      <c r="D17" s="2">
        <v>10523</v>
      </c>
      <c r="E17" s="2">
        <v>2193</v>
      </c>
      <c r="F17" s="2">
        <f t="shared" si="0"/>
        <v>12716</v>
      </c>
      <c r="G17" s="2">
        <v>4251</v>
      </c>
      <c r="H17" s="2">
        <v>2994</v>
      </c>
      <c r="I17" s="2">
        <f t="shared" si="1"/>
        <v>7245</v>
      </c>
      <c r="J17" s="2">
        <v>188</v>
      </c>
      <c r="L17" s="2">
        <f t="shared" si="2"/>
        <v>0.94880615135572643</v>
      </c>
      <c r="M17" s="2">
        <f t="shared" si="3"/>
        <v>0.29122102098629821</v>
      </c>
      <c r="N17" s="2">
        <f t="shared" si="4"/>
        <v>0.10743192461120425</v>
      </c>
      <c r="O17" s="2">
        <f t="shared" si="5"/>
        <v>2.7172342024628549E-3</v>
      </c>
    </row>
    <row r="18" spans="1:15" x14ac:dyDescent="0.15">
      <c r="A18" s="2" t="s">
        <v>42</v>
      </c>
      <c r="B18" s="2">
        <v>43076</v>
      </c>
      <c r="C18" s="2">
        <v>2263</v>
      </c>
      <c r="D18" s="2">
        <v>6343</v>
      </c>
      <c r="E18" s="2">
        <v>2859</v>
      </c>
      <c r="F18" s="2">
        <f t="shared" si="0"/>
        <v>9202</v>
      </c>
      <c r="G18" s="2">
        <v>3289</v>
      </c>
      <c r="H18" s="2">
        <v>2464</v>
      </c>
      <c r="I18" s="2">
        <f t="shared" si="1"/>
        <v>5753</v>
      </c>
      <c r="J18" s="2">
        <v>581</v>
      </c>
      <c r="L18" s="2">
        <f t="shared" si="2"/>
        <v>0.94746494567740736</v>
      </c>
      <c r="M18" s="2">
        <f t="shared" si="3"/>
        <v>0.36066487139010123</v>
      </c>
      <c r="N18" s="2">
        <f t="shared" si="4"/>
        <v>0.14704243662364194</v>
      </c>
      <c r="O18" s="2">
        <f t="shared" si="5"/>
        <v>1.3487789024050515E-2</v>
      </c>
    </row>
    <row r="19" spans="1:15" x14ac:dyDescent="0.15">
      <c r="A19" s="2" t="s">
        <v>43</v>
      </c>
      <c r="B19" s="2">
        <v>49591</v>
      </c>
      <c r="C19" s="2">
        <v>1461</v>
      </c>
      <c r="D19" s="2">
        <v>8858</v>
      </c>
      <c r="E19" s="2">
        <v>2269</v>
      </c>
      <c r="F19" s="2">
        <f t="shared" si="0"/>
        <v>11127</v>
      </c>
      <c r="G19" s="2">
        <v>3854</v>
      </c>
      <c r="H19" s="2">
        <v>2493</v>
      </c>
      <c r="I19" s="2">
        <f t="shared" si="1"/>
        <v>6347</v>
      </c>
      <c r="J19" s="2">
        <v>206</v>
      </c>
      <c r="L19" s="2">
        <f t="shared" si="2"/>
        <v>0.97053900909439217</v>
      </c>
      <c r="M19" s="2">
        <f t="shared" si="3"/>
        <v>0.35651630336149703</v>
      </c>
      <c r="N19" s="2">
        <f t="shared" si="4"/>
        <v>0.13214091266560465</v>
      </c>
      <c r="O19" s="2">
        <f t="shared" si="5"/>
        <v>4.153979552741425E-3</v>
      </c>
    </row>
    <row r="20" spans="1:15" x14ac:dyDescent="0.15">
      <c r="A20" s="2" t="s">
        <v>44</v>
      </c>
      <c r="B20" s="2">
        <v>82975</v>
      </c>
      <c r="C20" s="2">
        <v>3047</v>
      </c>
      <c r="D20" s="2">
        <v>12349</v>
      </c>
      <c r="E20" s="2">
        <v>5912</v>
      </c>
      <c r="F20" s="2">
        <f t="shared" si="0"/>
        <v>18261</v>
      </c>
      <c r="G20" s="2">
        <v>6950</v>
      </c>
      <c r="H20" s="2">
        <v>4687</v>
      </c>
      <c r="I20" s="2">
        <f t="shared" si="1"/>
        <v>11637</v>
      </c>
      <c r="J20" s="2">
        <v>303</v>
      </c>
      <c r="L20" s="2">
        <f t="shared" si="2"/>
        <v>0.96327809581199153</v>
      </c>
      <c r="M20" s="2">
        <f t="shared" si="3"/>
        <v>0.36397710153660739</v>
      </c>
      <c r="N20" s="2">
        <f t="shared" si="4"/>
        <v>0.1438987646881591</v>
      </c>
      <c r="O20" s="2">
        <f t="shared" si="5"/>
        <v>3.6517023199758962E-3</v>
      </c>
    </row>
    <row r="21" spans="1:15" x14ac:dyDescent="0.15">
      <c r="A21" s="2" t="s">
        <v>45</v>
      </c>
      <c r="B21" s="2">
        <v>35151</v>
      </c>
      <c r="C21" s="2">
        <v>1317</v>
      </c>
      <c r="D21" s="2">
        <v>3883</v>
      </c>
      <c r="E21" s="2">
        <v>1937</v>
      </c>
      <c r="F21" s="2">
        <f t="shared" si="0"/>
        <v>5820</v>
      </c>
      <c r="G21" s="2">
        <v>1979</v>
      </c>
      <c r="H21" s="2">
        <v>1274</v>
      </c>
      <c r="I21" s="2">
        <f t="shared" si="1"/>
        <v>3253</v>
      </c>
      <c r="J21" s="2">
        <v>71</v>
      </c>
      <c r="L21" s="2">
        <f t="shared" si="2"/>
        <v>0.96253307160535972</v>
      </c>
      <c r="M21" s="2">
        <f t="shared" si="3"/>
        <v>0.26013484680378934</v>
      </c>
      <c r="N21" s="2">
        <f t="shared" si="4"/>
        <v>9.4563454809251518E-2</v>
      </c>
      <c r="O21" s="2">
        <f t="shared" si="5"/>
        <v>2.0198571875622317E-3</v>
      </c>
    </row>
    <row r="22" spans="1:15" x14ac:dyDescent="0.15">
      <c r="A22" s="2" t="s">
        <v>46</v>
      </c>
      <c r="B22" s="2">
        <v>6768</v>
      </c>
      <c r="C22" s="2">
        <v>284</v>
      </c>
      <c r="D22" s="2">
        <v>747</v>
      </c>
      <c r="E22" s="2">
        <v>430</v>
      </c>
      <c r="F22" s="2">
        <f t="shared" si="0"/>
        <v>1177</v>
      </c>
      <c r="G22" s="2">
        <v>575</v>
      </c>
      <c r="H22" s="2">
        <v>415</v>
      </c>
      <c r="I22" s="2">
        <f t="shared" si="1"/>
        <v>990</v>
      </c>
      <c r="J22" s="2">
        <v>5</v>
      </c>
      <c r="L22" s="2">
        <f t="shared" si="2"/>
        <v>0.95803782505910162</v>
      </c>
      <c r="M22" s="2">
        <f t="shared" si="3"/>
        <v>0.32092198581560283</v>
      </c>
      <c r="N22" s="2">
        <f t="shared" si="4"/>
        <v>0.14701536643026006</v>
      </c>
      <c r="O22" s="2">
        <f t="shared" si="5"/>
        <v>7.387706855791962E-4</v>
      </c>
    </row>
    <row r="23" spans="1:15" x14ac:dyDescent="0.15">
      <c r="A23" s="2" t="s">
        <v>47</v>
      </c>
      <c r="B23" s="2">
        <v>22700</v>
      </c>
      <c r="C23" s="2">
        <v>919</v>
      </c>
      <c r="D23" s="2">
        <v>3115</v>
      </c>
      <c r="E23" s="2">
        <v>971</v>
      </c>
      <c r="F23" s="2">
        <f t="shared" si="0"/>
        <v>4086</v>
      </c>
      <c r="G23" s="2">
        <v>2034</v>
      </c>
      <c r="H23" s="2">
        <v>1355</v>
      </c>
      <c r="I23" s="2">
        <f t="shared" si="1"/>
        <v>3389</v>
      </c>
      <c r="J23" s="2">
        <v>111</v>
      </c>
      <c r="L23" s="2">
        <f t="shared" si="2"/>
        <v>0.95951541850220268</v>
      </c>
      <c r="M23" s="2">
        <f t="shared" si="3"/>
        <v>0.33418502202643174</v>
      </c>
      <c r="N23" s="2">
        <f t="shared" si="4"/>
        <v>0.15418502202643172</v>
      </c>
      <c r="O23" s="2">
        <f t="shared" si="5"/>
        <v>4.8898678414096919E-3</v>
      </c>
    </row>
    <row r="24" spans="1:15" x14ac:dyDescent="0.15">
      <c r="A24" s="2" t="s">
        <v>48</v>
      </c>
      <c r="B24" s="2">
        <v>60887</v>
      </c>
      <c r="C24" s="2">
        <v>4266</v>
      </c>
      <c r="D24" s="2">
        <v>6518</v>
      </c>
      <c r="E24" s="2">
        <v>2459</v>
      </c>
      <c r="F24" s="2">
        <f t="shared" si="0"/>
        <v>8977</v>
      </c>
      <c r="G24" s="2">
        <v>4625</v>
      </c>
      <c r="H24" s="2">
        <v>3661</v>
      </c>
      <c r="I24" s="2">
        <f t="shared" si="1"/>
        <v>8286</v>
      </c>
      <c r="J24" s="2">
        <v>321</v>
      </c>
      <c r="L24" s="2">
        <f t="shared" si="2"/>
        <v>0.9299357826793897</v>
      </c>
      <c r="M24" s="2">
        <f t="shared" si="3"/>
        <v>0.28879728020759771</v>
      </c>
      <c r="N24" s="2">
        <f t="shared" si="4"/>
        <v>0.14136022467850279</v>
      </c>
      <c r="O24" s="2">
        <f t="shared" si="5"/>
        <v>5.2720613595677234E-3</v>
      </c>
    </row>
    <row r="25" spans="1:15" x14ac:dyDescent="0.15">
      <c r="A25" s="2" t="s">
        <v>49</v>
      </c>
      <c r="B25" s="2">
        <v>25671</v>
      </c>
      <c r="C25" s="2">
        <v>2624</v>
      </c>
      <c r="D25" s="2">
        <v>2115</v>
      </c>
      <c r="E25" s="2">
        <v>788</v>
      </c>
      <c r="F25" s="2">
        <f t="shared" si="0"/>
        <v>2903</v>
      </c>
      <c r="G25" s="2">
        <v>1148</v>
      </c>
      <c r="H25" s="2">
        <v>965</v>
      </c>
      <c r="I25" s="2">
        <f t="shared" si="1"/>
        <v>2113</v>
      </c>
      <c r="J25" s="2">
        <v>23</v>
      </c>
      <c r="L25" s="2">
        <f t="shared" si="2"/>
        <v>0.89778349109890543</v>
      </c>
      <c r="M25" s="2">
        <f t="shared" si="3"/>
        <v>0.19629153519535664</v>
      </c>
      <c r="N25" s="2">
        <f t="shared" si="4"/>
        <v>8.320673133107398E-2</v>
      </c>
      <c r="O25" s="2">
        <f t="shared" si="5"/>
        <v>8.9595263137392384E-4</v>
      </c>
    </row>
    <row r="26" spans="1:15" x14ac:dyDescent="0.15">
      <c r="A26" s="2" t="s">
        <v>50</v>
      </c>
      <c r="B26" s="2">
        <v>34999</v>
      </c>
      <c r="C26" s="2">
        <v>2534</v>
      </c>
      <c r="D26" s="2">
        <v>2601</v>
      </c>
      <c r="E26" s="2">
        <v>1584</v>
      </c>
      <c r="F26" s="2">
        <f t="shared" si="0"/>
        <v>4185</v>
      </c>
      <c r="G26" s="2">
        <v>1958</v>
      </c>
      <c r="H26" s="2">
        <v>1913</v>
      </c>
      <c r="I26" s="2">
        <f t="shared" si="1"/>
        <v>3871</v>
      </c>
      <c r="J26" s="2">
        <v>76</v>
      </c>
      <c r="L26" s="2">
        <f t="shared" si="2"/>
        <v>0.92759793136946767</v>
      </c>
      <c r="M26" s="2">
        <f t="shared" si="3"/>
        <v>0.23234949569987715</v>
      </c>
      <c r="N26" s="2">
        <f t="shared" si="4"/>
        <v>0.11277465070430584</v>
      </c>
      <c r="O26" s="2">
        <f t="shared" si="5"/>
        <v>2.1714906140175433E-3</v>
      </c>
    </row>
    <row r="27" spans="1:15" x14ac:dyDescent="0.15">
      <c r="A27" s="2" t="s">
        <v>51</v>
      </c>
      <c r="B27" s="2">
        <v>28220</v>
      </c>
      <c r="C27" s="2">
        <v>1211</v>
      </c>
      <c r="D27" s="2">
        <v>4250</v>
      </c>
      <c r="E27" s="2">
        <v>1130</v>
      </c>
      <c r="F27" s="2">
        <f t="shared" si="0"/>
        <v>5380</v>
      </c>
      <c r="G27" s="2">
        <v>2068</v>
      </c>
      <c r="H27" s="2">
        <v>1603</v>
      </c>
      <c r="I27" s="2">
        <f t="shared" si="1"/>
        <v>3671</v>
      </c>
      <c r="J27" s="2">
        <v>197</v>
      </c>
      <c r="L27" s="2">
        <f t="shared" si="2"/>
        <v>0.95708717221828488</v>
      </c>
      <c r="M27" s="2">
        <f t="shared" si="3"/>
        <v>0.32771084337349399</v>
      </c>
      <c r="N27" s="2">
        <f t="shared" si="4"/>
        <v>0.13706591070163004</v>
      </c>
      <c r="O27" s="2">
        <f t="shared" si="5"/>
        <v>6.9808646350106307E-3</v>
      </c>
    </row>
    <row r="28" spans="1:15" x14ac:dyDescent="0.15">
      <c r="A28" s="2" t="s">
        <v>52</v>
      </c>
      <c r="B28" s="2">
        <v>19090</v>
      </c>
      <c r="C28" s="2">
        <v>2008</v>
      </c>
      <c r="D28" s="2">
        <v>2580</v>
      </c>
      <c r="E28" s="2">
        <v>641</v>
      </c>
      <c r="F28" s="2">
        <f t="shared" si="0"/>
        <v>3221</v>
      </c>
      <c r="G28" s="2">
        <v>1142</v>
      </c>
      <c r="H28" s="2">
        <v>1066</v>
      </c>
      <c r="I28" s="2">
        <f t="shared" si="1"/>
        <v>2208</v>
      </c>
      <c r="J28" s="2">
        <v>69</v>
      </c>
      <c r="L28" s="2">
        <f t="shared" si="2"/>
        <v>0.89481403876375065</v>
      </c>
      <c r="M28" s="2">
        <f t="shared" si="3"/>
        <v>0.28800419067574645</v>
      </c>
      <c r="N28" s="2">
        <f t="shared" si="4"/>
        <v>0.11927710843373494</v>
      </c>
      <c r="O28" s="2">
        <f t="shared" si="5"/>
        <v>3.6144578313253013E-3</v>
      </c>
    </row>
    <row r="29" spans="1:15" x14ac:dyDescent="0.15">
      <c r="A29" s="2" t="s">
        <v>53</v>
      </c>
      <c r="B29" s="2">
        <v>4348</v>
      </c>
      <c r="C29" s="2">
        <v>512</v>
      </c>
      <c r="D29" s="2">
        <v>366</v>
      </c>
      <c r="E29" s="2">
        <v>148</v>
      </c>
      <c r="F29" s="2">
        <f t="shared" si="0"/>
        <v>514</v>
      </c>
      <c r="G29" s="2">
        <v>294</v>
      </c>
      <c r="H29" s="2">
        <v>291</v>
      </c>
      <c r="I29" s="2">
        <f t="shared" si="1"/>
        <v>585</v>
      </c>
      <c r="J29" s="2">
        <v>13</v>
      </c>
      <c r="L29" s="2">
        <f t="shared" si="2"/>
        <v>0.88224471021159157</v>
      </c>
      <c r="M29" s="2">
        <f t="shared" si="3"/>
        <v>0.25574977000919963</v>
      </c>
      <c r="N29" s="2">
        <f t="shared" si="4"/>
        <v>0.13753449862005521</v>
      </c>
      <c r="O29" s="2">
        <f t="shared" si="5"/>
        <v>2.9898804047838088E-3</v>
      </c>
    </row>
    <row r="30" spans="1:15" x14ac:dyDescent="0.15">
      <c r="A30" s="2" t="s">
        <v>54</v>
      </c>
      <c r="B30" s="2">
        <v>4937</v>
      </c>
      <c r="C30" s="2">
        <v>429</v>
      </c>
      <c r="D30" s="2">
        <v>593</v>
      </c>
      <c r="E30" s="2">
        <v>185</v>
      </c>
      <c r="F30" s="2">
        <f t="shared" si="0"/>
        <v>778</v>
      </c>
      <c r="G30" s="2">
        <v>380</v>
      </c>
      <c r="H30" s="2">
        <v>304</v>
      </c>
      <c r="I30" s="2">
        <f t="shared" si="1"/>
        <v>684</v>
      </c>
      <c r="J30" s="2">
        <v>14</v>
      </c>
      <c r="L30" s="2">
        <f t="shared" si="2"/>
        <v>0.91310512456957671</v>
      </c>
      <c r="M30" s="2">
        <f t="shared" si="3"/>
        <v>0.29896698399837957</v>
      </c>
      <c r="N30" s="2">
        <f t="shared" si="4"/>
        <v>0.14138140571197083</v>
      </c>
      <c r="O30" s="2">
        <f t="shared" si="5"/>
        <v>2.8357302005266355E-3</v>
      </c>
    </row>
    <row r="31" spans="1:15" x14ac:dyDescent="0.15">
      <c r="A31" s="2" t="s">
        <v>55</v>
      </c>
      <c r="B31" s="2">
        <v>17833</v>
      </c>
      <c r="C31" s="2">
        <v>810</v>
      </c>
      <c r="D31" s="2">
        <v>1824</v>
      </c>
      <c r="E31" s="2">
        <v>830</v>
      </c>
      <c r="F31" s="2">
        <f t="shared" si="0"/>
        <v>2654</v>
      </c>
      <c r="G31" s="2">
        <v>1572</v>
      </c>
      <c r="H31" s="2">
        <v>1015</v>
      </c>
      <c r="I31" s="2">
        <f t="shared" si="1"/>
        <v>2587</v>
      </c>
      <c r="J31" s="2">
        <v>66</v>
      </c>
      <c r="L31" s="2">
        <f t="shared" si="2"/>
        <v>0.95457859025402347</v>
      </c>
      <c r="M31" s="2">
        <f t="shared" si="3"/>
        <v>0.29759434755789826</v>
      </c>
      <c r="N31" s="2">
        <f t="shared" si="4"/>
        <v>0.14876913587169854</v>
      </c>
      <c r="O31" s="2">
        <f t="shared" si="5"/>
        <v>3.7010037570795718E-3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8192-6745-440B-A80F-04BDF539BB74}">
  <dimension ref="A1:I31"/>
  <sheetViews>
    <sheetView workbookViewId="0">
      <selection activeCell="G2" sqref="G2:G31"/>
    </sheetView>
  </sheetViews>
  <sheetFormatPr defaultRowHeight="13.5" x14ac:dyDescent="0.15"/>
  <cols>
    <col min="1" max="1" width="26.625" style="2" customWidth="1"/>
    <col min="2" max="9" width="9" style="2"/>
  </cols>
  <sheetData>
    <row r="1" spans="1:7" x14ac:dyDescent="0.15">
      <c r="A1" s="3" t="s">
        <v>0</v>
      </c>
      <c r="B1" s="2" t="s">
        <v>102</v>
      </c>
      <c r="C1" s="2" t="s">
        <v>103</v>
      </c>
      <c r="D1" s="2" t="s">
        <v>104</v>
      </c>
      <c r="E1" s="2" t="s">
        <v>60</v>
      </c>
      <c r="F1" s="2" t="s">
        <v>105</v>
      </c>
      <c r="G1" s="2" t="s">
        <v>106</v>
      </c>
    </row>
    <row r="2" spans="1:7" x14ac:dyDescent="0.15">
      <c r="A2" s="2" t="s">
        <v>26</v>
      </c>
      <c r="B2" s="2">
        <v>2171</v>
      </c>
      <c r="C2" s="2">
        <v>4371</v>
      </c>
      <c r="D2" s="2">
        <v>1433</v>
      </c>
      <c r="E2" s="2">
        <v>1078</v>
      </c>
      <c r="F2" s="2">
        <v>5320</v>
      </c>
      <c r="G2" s="2">
        <f>SUM(B2:F2)/100000</f>
        <v>0.14373</v>
      </c>
    </row>
    <row r="3" spans="1:7" x14ac:dyDescent="0.15">
      <c r="A3" s="2" t="s">
        <v>27</v>
      </c>
      <c r="B3" s="2">
        <v>1768</v>
      </c>
      <c r="C3" s="2">
        <v>4500</v>
      </c>
      <c r="D3" s="2">
        <v>1945</v>
      </c>
      <c r="E3" s="2">
        <v>1673</v>
      </c>
      <c r="F3" s="2">
        <v>4214</v>
      </c>
      <c r="G3" s="2">
        <f t="shared" ref="G3:G31" si="0">SUM(B3:F3)/100000</f>
        <v>0.14099999999999999</v>
      </c>
    </row>
    <row r="4" spans="1:7" x14ac:dyDescent="0.15">
      <c r="A4" s="2" t="s">
        <v>28</v>
      </c>
      <c r="B4" s="2">
        <v>3164</v>
      </c>
      <c r="C4" s="2">
        <v>8988</v>
      </c>
      <c r="D4" s="2">
        <v>3935</v>
      </c>
      <c r="E4" s="2">
        <v>3053</v>
      </c>
      <c r="F4" s="2">
        <v>2596</v>
      </c>
      <c r="G4" s="2">
        <f t="shared" si="0"/>
        <v>0.21736</v>
      </c>
    </row>
    <row r="5" spans="1:7" x14ac:dyDescent="0.15">
      <c r="A5" s="2" t="s">
        <v>29</v>
      </c>
      <c r="B5" s="2">
        <v>2681</v>
      </c>
      <c r="C5" s="2">
        <v>6168</v>
      </c>
      <c r="D5" s="2">
        <v>3071</v>
      </c>
      <c r="E5" s="2">
        <v>2815</v>
      </c>
      <c r="F5" s="2">
        <v>2515</v>
      </c>
      <c r="G5" s="2">
        <f t="shared" si="0"/>
        <v>0.17249999999999999</v>
      </c>
    </row>
    <row r="6" spans="1:7" x14ac:dyDescent="0.15">
      <c r="A6" s="2" t="s">
        <v>30</v>
      </c>
      <c r="B6" s="2">
        <v>2395</v>
      </c>
      <c r="C6" s="2">
        <v>5379</v>
      </c>
      <c r="D6" s="2">
        <v>2618</v>
      </c>
      <c r="E6" s="2">
        <v>2330</v>
      </c>
      <c r="F6" s="2">
        <v>2053</v>
      </c>
      <c r="G6" s="2">
        <f t="shared" si="0"/>
        <v>0.14774999999999999</v>
      </c>
    </row>
    <row r="7" spans="1:7" x14ac:dyDescent="0.15">
      <c r="A7" s="2" t="s">
        <v>31</v>
      </c>
      <c r="B7" s="2">
        <v>2099</v>
      </c>
      <c r="C7" s="2">
        <v>4475</v>
      </c>
      <c r="D7" s="2">
        <v>2328</v>
      </c>
      <c r="E7" s="2">
        <v>2135</v>
      </c>
      <c r="F7" s="2">
        <v>3136</v>
      </c>
      <c r="G7" s="2">
        <f t="shared" si="0"/>
        <v>0.14172999999999999</v>
      </c>
    </row>
    <row r="8" spans="1:7" x14ac:dyDescent="0.15">
      <c r="A8" s="2" t="s">
        <v>32</v>
      </c>
      <c r="B8" s="2">
        <v>1522</v>
      </c>
      <c r="C8" s="2">
        <v>4385</v>
      </c>
      <c r="D8" s="2">
        <v>2421</v>
      </c>
      <c r="E8" s="2">
        <v>2134</v>
      </c>
      <c r="F8" s="2">
        <v>3373</v>
      </c>
      <c r="G8" s="2">
        <f t="shared" si="0"/>
        <v>0.13835</v>
      </c>
    </row>
    <row r="9" spans="1:7" x14ac:dyDescent="0.15">
      <c r="A9" s="2" t="s">
        <v>33</v>
      </c>
      <c r="B9" s="2">
        <v>1351</v>
      </c>
      <c r="C9" s="2">
        <v>3389</v>
      </c>
      <c r="D9" s="2">
        <v>2422</v>
      </c>
      <c r="E9" s="2">
        <v>2054</v>
      </c>
      <c r="F9" s="2">
        <v>2531</v>
      </c>
      <c r="G9" s="2">
        <f t="shared" si="0"/>
        <v>0.11747</v>
      </c>
    </row>
    <row r="10" spans="1:7" x14ac:dyDescent="0.15">
      <c r="A10" s="2" t="s">
        <v>34</v>
      </c>
      <c r="B10" s="2">
        <v>2357</v>
      </c>
      <c r="C10" s="2">
        <v>3409</v>
      </c>
      <c r="D10" s="2">
        <v>1860</v>
      </c>
      <c r="E10" s="2">
        <v>1070</v>
      </c>
      <c r="F10" s="2">
        <v>3582</v>
      </c>
      <c r="G10" s="2">
        <f t="shared" si="0"/>
        <v>0.12278</v>
      </c>
    </row>
    <row r="11" spans="1:7" x14ac:dyDescent="0.15">
      <c r="A11" s="2" t="s">
        <v>35</v>
      </c>
      <c r="B11" s="2">
        <v>3154</v>
      </c>
      <c r="C11" s="2">
        <v>7113</v>
      </c>
      <c r="D11" s="2">
        <v>3012</v>
      </c>
      <c r="E11" s="2">
        <v>2410</v>
      </c>
      <c r="F11" s="2">
        <v>3311</v>
      </c>
      <c r="G11" s="2">
        <f t="shared" si="0"/>
        <v>0.19</v>
      </c>
    </row>
    <row r="12" spans="1:7" x14ac:dyDescent="0.15">
      <c r="A12" s="2" t="s">
        <v>36</v>
      </c>
      <c r="B12" s="2">
        <v>3377</v>
      </c>
      <c r="C12" s="2">
        <v>6399</v>
      </c>
      <c r="D12" s="2">
        <v>2853</v>
      </c>
      <c r="E12" s="2">
        <v>2626</v>
      </c>
      <c r="F12" s="2">
        <v>2509</v>
      </c>
      <c r="G12" s="2">
        <f t="shared" si="0"/>
        <v>0.17763999999999999</v>
      </c>
    </row>
    <row r="13" spans="1:7" x14ac:dyDescent="0.15">
      <c r="A13" s="2" t="s">
        <v>37</v>
      </c>
      <c r="B13" s="2">
        <v>3343</v>
      </c>
      <c r="C13" s="2">
        <v>7307</v>
      </c>
      <c r="D13" s="2">
        <v>3460</v>
      </c>
      <c r="E13" s="2">
        <v>3109</v>
      </c>
      <c r="F13" s="2">
        <v>2447</v>
      </c>
      <c r="G13" s="2">
        <f t="shared" si="0"/>
        <v>0.19666</v>
      </c>
    </row>
    <row r="14" spans="1:7" x14ac:dyDescent="0.15">
      <c r="A14" s="2" t="s">
        <v>38</v>
      </c>
      <c r="B14" s="2">
        <v>4303</v>
      </c>
      <c r="C14" s="2">
        <v>8485</v>
      </c>
      <c r="D14" s="2">
        <v>3462</v>
      </c>
      <c r="E14" s="2">
        <v>2677</v>
      </c>
      <c r="F14" s="2">
        <v>2577</v>
      </c>
      <c r="G14" s="2">
        <f t="shared" si="0"/>
        <v>0.21504000000000001</v>
      </c>
    </row>
    <row r="15" spans="1:7" x14ac:dyDescent="0.15">
      <c r="A15" s="2" t="s">
        <v>39</v>
      </c>
      <c r="B15" s="2">
        <v>3567</v>
      </c>
      <c r="C15" s="2">
        <v>8852</v>
      </c>
      <c r="D15" s="2">
        <v>4735</v>
      </c>
      <c r="E15" s="2">
        <v>3400</v>
      </c>
      <c r="F15" s="2">
        <v>3010</v>
      </c>
      <c r="G15" s="2">
        <f t="shared" si="0"/>
        <v>0.23563999999999999</v>
      </c>
    </row>
    <row r="16" spans="1:7" x14ac:dyDescent="0.15">
      <c r="A16" s="2" t="s">
        <v>40</v>
      </c>
      <c r="B16" s="2">
        <v>3365</v>
      </c>
      <c r="C16" s="2">
        <v>7351</v>
      </c>
      <c r="D16" s="2">
        <v>3592</v>
      </c>
      <c r="E16" s="2">
        <v>2720</v>
      </c>
      <c r="F16" s="2">
        <v>2855</v>
      </c>
      <c r="G16" s="2">
        <f t="shared" si="0"/>
        <v>0.19883000000000001</v>
      </c>
    </row>
    <row r="17" spans="1:7" x14ac:dyDescent="0.15">
      <c r="A17" s="2" t="s">
        <v>41</v>
      </c>
      <c r="B17" s="2">
        <v>4486</v>
      </c>
      <c r="C17" s="2">
        <v>10541</v>
      </c>
      <c r="D17" s="2">
        <v>4877</v>
      </c>
      <c r="E17" s="2">
        <v>3685</v>
      </c>
      <c r="F17" s="2">
        <v>2913</v>
      </c>
      <c r="G17" s="2">
        <f t="shared" si="0"/>
        <v>0.26501999999999998</v>
      </c>
    </row>
    <row r="18" spans="1:7" x14ac:dyDescent="0.15">
      <c r="A18" s="2" t="s">
        <v>42</v>
      </c>
      <c r="B18" s="2">
        <v>3005</v>
      </c>
      <c r="C18" s="2">
        <v>6363</v>
      </c>
      <c r="D18" s="2">
        <v>2795</v>
      </c>
      <c r="E18" s="2">
        <v>2239</v>
      </c>
      <c r="F18" s="2">
        <v>3248</v>
      </c>
      <c r="G18" s="2">
        <f t="shared" si="0"/>
        <v>0.17649999999999999</v>
      </c>
    </row>
    <row r="19" spans="1:7" x14ac:dyDescent="0.15">
      <c r="A19" s="2" t="s">
        <v>43</v>
      </c>
      <c r="B19" s="2">
        <v>3299</v>
      </c>
      <c r="C19" s="2">
        <v>7664</v>
      </c>
      <c r="D19" s="2">
        <v>3598</v>
      </c>
      <c r="E19" s="2">
        <v>2930</v>
      </c>
      <c r="F19" s="2">
        <v>2873</v>
      </c>
      <c r="G19" s="2">
        <f t="shared" si="0"/>
        <v>0.20363999999999999</v>
      </c>
    </row>
    <row r="20" spans="1:7" x14ac:dyDescent="0.15">
      <c r="A20" s="2" t="s">
        <v>44</v>
      </c>
      <c r="B20" s="2">
        <v>4094</v>
      </c>
      <c r="C20" s="2">
        <v>9108</v>
      </c>
      <c r="D20" s="2">
        <v>3429</v>
      </c>
      <c r="E20" s="2">
        <v>2855</v>
      </c>
      <c r="F20" s="2">
        <v>2751</v>
      </c>
      <c r="G20" s="2">
        <f t="shared" si="0"/>
        <v>0.22237000000000001</v>
      </c>
    </row>
    <row r="21" spans="1:7" x14ac:dyDescent="0.15">
      <c r="A21" s="2" t="s">
        <v>45</v>
      </c>
      <c r="B21" s="2">
        <v>4401</v>
      </c>
      <c r="C21" s="2">
        <v>10049</v>
      </c>
      <c r="D21" s="2">
        <v>4476</v>
      </c>
      <c r="E21" s="2">
        <v>3843</v>
      </c>
      <c r="F21" s="2">
        <v>2887</v>
      </c>
      <c r="G21" s="2">
        <f t="shared" si="0"/>
        <v>0.25656000000000001</v>
      </c>
    </row>
    <row r="22" spans="1:7" x14ac:dyDescent="0.15">
      <c r="A22" s="2" t="s">
        <v>46</v>
      </c>
      <c r="B22" s="2">
        <v>4017</v>
      </c>
      <c r="C22" s="2">
        <v>9134</v>
      </c>
      <c r="D22" s="2">
        <v>3951</v>
      </c>
      <c r="E22" s="2">
        <v>3361</v>
      </c>
      <c r="F22" s="2">
        <v>2497</v>
      </c>
      <c r="G22" s="2">
        <f t="shared" si="0"/>
        <v>0.2296</v>
      </c>
    </row>
    <row r="23" spans="1:7" x14ac:dyDescent="0.15">
      <c r="A23" s="2" t="s">
        <v>47</v>
      </c>
      <c r="B23" s="2">
        <v>3167</v>
      </c>
      <c r="C23" s="2">
        <v>6650</v>
      </c>
      <c r="D23" s="2">
        <v>3597</v>
      </c>
      <c r="E23" s="2">
        <v>3298</v>
      </c>
      <c r="F23" s="2">
        <v>3258</v>
      </c>
      <c r="G23" s="2">
        <f t="shared" si="0"/>
        <v>0.19969999999999999</v>
      </c>
    </row>
    <row r="24" spans="1:7" x14ac:dyDescent="0.15">
      <c r="A24" s="2" t="s">
        <v>48</v>
      </c>
      <c r="B24" s="2">
        <v>3170</v>
      </c>
      <c r="C24" s="2">
        <v>6663</v>
      </c>
      <c r="D24" s="2">
        <v>3282</v>
      </c>
      <c r="E24" s="2">
        <v>2776</v>
      </c>
      <c r="F24" s="2">
        <v>2546</v>
      </c>
      <c r="G24" s="2">
        <f t="shared" si="0"/>
        <v>0.18437000000000001</v>
      </c>
    </row>
    <row r="25" spans="1:7" x14ac:dyDescent="0.15">
      <c r="A25" s="2" t="s">
        <v>49</v>
      </c>
      <c r="B25" s="2">
        <v>4292</v>
      </c>
      <c r="C25" s="2">
        <v>10786</v>
      </c>
      <c r="D25" s="2">
        <v>4980</v>
      </c>
      <c r="E25" s="2">
        <v>4170</v>
      </c>
      <c r="F25" s="2">
        <v>2453</v>
      </c>
      <c r="G25" s="2">
        <f t="shared" si="0"/>
        <v>0.26680999999999999</v>
      </c>
    </row>
    <row r="26" spans="1:7" x14ac:dyDescent="0.15">
      <c r="A26" s="2" t="s">
        <v>50</v>
      </c>
      <c r="B26" s="2">
        <v>3103</v>
      </c>
      <c r="C26" s="2">
        <v>7973</v>
      </c>
      <c r="D26" s="2">
        <v>3821</v>
      </c>
      <c r="E26" s="2">
        <v>3244</v>
      </c>
      <c r="F26" s="2">
        <v>2401</v>
      </c>
      <c r="G26" s="2">
        <f t="shared" si="0"/>
        <v>0.20541999999999999</v>
      </c>
    </row>
    <row r="27" spans="1:7" x14ac:dyDescent="0.15">
      <c r="A27" s="2" t="s">
        <v>51</v>
      </c>
      <c r="B27" s="2">
        <v>3596</v>
      </c>
      <c r="C27" s="2">
        <v>7184</v>
      </c>
      <c r="D27" s="2">
        <v>2908</v>
      </c>
      <c r="E27" s="2">
        <v>2868</v>
      </c>
      <c r="F27" s="2">
        <v>3812</v>
      </c>
      <c r="G27" s="2">
        <f t="shared" si="0"/>
        <v>0.20368</v>
      </c>
    </row>
    <row r="28" spans="1:7" x14ac:dyDescent="0.15">
      <c r="A28" s="2" t="s">
        <v>52</v>
      </c>
      <c r="B28" s="2">
        <v>3537</v>
      </c>
      <c r="C28" s="2">
        <v>7362</v>
      </c>
      <c r="D28" s="2">
        <v>3344</v>
      </c>
      <c r="E28" s="2">
        <v>2831</v>
      </c>
      <c r="F28" s="2">
        <v>2396</v>
      </c>
      <c r="G28" s="2">
        <f t="shared" si="0"/>
        <v>0.19470000000000001</v>
      </c>
    </row>
    <row r="29" spans="1:7" x14ac:dyDescent="0.15">
      <c r="A29" s="2" t="s">
        <v>53</v>
      </c>
      <c r="B29" s="2">
        <v>3564</v>
      </c>
      <c r="C29" s="2">
        <v>8267</v>
      </c>
      <c r="D29" s="2">
        <v>3736</v>
      </c>
      <c r="E29" s="2">
        <v>3490</v>
      </c>
      <c r="F29" s="2">
        <v>1486</v>
      </c>
      <c r="G29" s="2">
        <f t="shared" si="0"/>
        <v>0.20543</v>
      </c>
    </row>
    <row r="30" spans="1:7" x14ac:dyDescent="0.15">
      <c r="A30" s="2" t="s">
        <v>54</v>
      </c>
      <c r="B30" s="2">
        <v>3602</v>
      </c>
      <c r="C30" s="2">
        <v>8491</v>
      </c>
      <c r="D30" s="2">
        <v>4343</v>
      </c>
      <c r="E30" s="2">
        <v>3422</v>
      </c>
      <c r="F30" s="2">
        <v>2581</v>
      </c>
      <c r="G30" s="2">
        <f t="shared" si="0"/>
        <v>0.22439000000000001</v>
      </c>
    </row>
    <row r="31" spans="1:7" x14ac:dyDescent="0.15">
      <c r="A31" s="2" t="s">
        <v>55</v>
      </c>
      <c r="B31" s="2">
        <v>6110</v>
      </c>
      <c r="C31" s="2">
        <v>10482</v>
      </c>
      <c r="D31" s="2">
        <v>3929</v>
      </c>
      <c r="E31" s="2">
        <v>3496</v>
      </c>
      <c r="F31" s="2">
        <v>2106</v>
      </c>
      <c r="G31" s="2">
        <f t="shared" si="0"/>
        <v>0.26123000000000002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province_covars</vt:lpstr>
      <vt:lpstr>dictionary</vt:lpstr>
      <vt:lpstr>age65proportion</vt:lpstr>
      <vt:lpstr>education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2025-09-23T14:49:39Z</dcterms:created>
  <dcterms:modified xsi:type="dcterms:W3CDTF">2025-09-25T19:58:54Z</dcterms:modified>
</cp:coreProperties>
</file>