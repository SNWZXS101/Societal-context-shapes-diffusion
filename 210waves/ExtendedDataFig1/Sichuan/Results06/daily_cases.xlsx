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四川第六波\"/>
    </mc:Choice>
  </mc:AlternateContent>
  <xr:revisionPtr revIDLastSave="0" documentId="13_ncr:1_{09448C2B-2ABE-4B27-BF00-D71FBE7C4290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8" i="1" l="1"/>
  <c r="B56" i="1"/>
  <c r="B55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5" i="1"/>
</calcChain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<sst xmlns="http://schemas.openxmlformats.org/spreadsheetml/2006/main" count="3" uniqueCount="3">
  <si>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</si>
  <si>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</si>
  <si>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四川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</si>
</sst>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F7" sqref="F7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44774</v>
      </c>
      <c r="B2" s="3">
        <v>0</v>
      </c>
      <c r="C2" s="1">
        <v>1</v>
      </c>
    </row>
    <row r="3" spans="1:3" x14ac:dyDescent="0.2">
      <c r="A3" s="2">
        <v>44775</v>
      </c>
      <c r="B3" s="3">
        <v>0</v>
      </c>
      <c r="C3" s="1">
        <v>2</v>
      </c>
    </row>
    <row r="4" spans="1:3" x14ac:dyDescent="0.2">
      <c r="A4" s="2">
        <v>44776</v>
      </c>
      <c r="B4" s="3">
        <v>0</v>
      </c>
      <c r="C4" s="1">
        <v>3</v>
      </c>
    </row>
    <row r="5" spans="1:3" x14ac:dyDescent="0.2">
      <c r="A5" s="2">
        <v>44777</v>
      </c>
      <c r="B5" s="5">
        <v>1</v>
      </c>
      <c r="C5" s="1">
        <v>4</v>
      </c>
    </row>
    <row r="6" spans="1:3" x14ac:dyDescent="0.2">
      <c r="A6" s="2">
        <v>44778</v>
      </c>
      <c r="B6" s="5">
        <v>1</v>
      </c>
      <c r="C6" s="1">
        <v>5</v>
      </c>
    </row>
    <row r="7" spans="1:3" x14ac:dyDescent="0.2">
      <c r="A7" s="2">
        <v>44779</v>
      </c>
      <c r="B7" s="5">
        <v>2</v>
      </c>
      <c r="C7" s="1">
        <v>6</v>
      </c>
    </row>
    <row r="8" spans="1:3" x14ac:dyDescent="0.2">
      <c r="A8" s="2">
        <v>44780</v>
      </c>
      <c r="B8" s="5">
        <v>1</v>
      </c>
      <c r="C8" s="1">
        <v>7</v>
      </c>
    </row>
    <row r="9" spans="1:3" x14ac:dyDescent="0.2">
      <c r="A9" s="2">
        <v>44781</v>
      </c>
      <c r="B9" s="5">
        <v>3</v>
      </c>
      <c r="C9" s="1">
        <v>8</v>
      </c>
    </row>
    <row r="10" spans="1:3" x14ac:dyDescent="0.2">
      <c r="A10" s="2">
        <v>44782</v>
      </c>
      <c r="B10" s="5">
        <v>2</v>
      </c>
      <c r="C10" s="1">
        <v>9</v>
      </c>
    </row>
    <row r="11" spans="1:3" x14ac:dyDescent="0.2">
      <c r="A11" s="2">
        <v>44783</v>
      </c>
      <c r="B11" s="5">
        <v>5</v>
      </c>
      <c r="C11" s="1">
        <v>10</v>
      </c>
    </row>
    <row r="12" spans="1:3" x14ac:dyDescent="0.2">
      <c r="A12" s="2">
        <v>44784</v>
      </c>
      <c r="B12" s="5">
        <v>1</v>
      </c>
      <c r="C12" s="1">
        <v>11</v>
      </c>
    </row>
    <row r="13" spans="1:3" x14ac:dyDescent="0.2">
      <c r="A13" s="2">
        <v>44785</v>
      </c>
      <c r="B13" s="5">
        <v>8</v>
      </c>
      <c r="C13" s="1">
        <v>12</v>
      </c>
    </row>
    <row r="14" spans="1:3" x14ac:dyDescent="0.2">
      <c r="A14" s="2">
        <v>44786</v>
      </c>
      <c r="B14" s="5">
        <v>5</v>
      </c>
      <c r="C14" s="1">
        <v>13</v>
      </c>
    </row>
    <row r="15" spans="1:3" x14ac:dyDescent="0.2">
      <c r="A15" s="2">
        <v>44787</v>
      </c>
      <c r="B15" s="5">
        <v>7</v>
      </c>
      <c r="C15" s="1">
        <v>14</v>
      </c>
    </row>
    <row r="16" spans="1:3" x14ac:dyDescent="0.2">
      <c r="A16" s="2">
        <v>44788</v>
      </c>
      <c r="B16" s="5">
        <v>13</v>
      </c>
      <c r="C16" s="1">
        <v>15</v>
      </c>
    </row>
    <row r="17" spans="1:3" x14ac:dyDescent="0.2">
      <c r="A17" s="2">
        <v>44789</v>
      </c>
      <c r="B17" s="5">
        <v>6</v>
      </c>
      <c r="C17" s="1">
        <v>16</v>
      </c>
    </row>
    <row r="18" spans="1:3" x14ac:dyDescent="0.2">
      <c r="A18" s="2">
        <v>44790</v>
      </c>
      <c r="B18" s="5">
        <v>4</v>
      </c>
      <c r="C18" s="1">
        <v>17</v>
      </c>
    </row>
    <row r="19" spans="1:3" x14ac:dyDescent="0.2">
      <c r="A19" s="2">
        <v>44791</v>
      </c>
      <c r="B19" s="5">
        <v>8</v>
      </c>
      <c r="C19" s="1">
        <v>18</v>
      </c>
    </row>
    <row r="20" spans="1:3" x14ac:dyDescent="0.2">
      <c r="A20" s="2">
        <v>44792</v>
      </c>
      <c r="B20" s="5">
        <v>12</v>
      </c>
      <c r="C20" s="1">
        <v>19</v>
      </c>
    </row>
    <row r="21" spans="1:3" x14ac:dyDescent="0.2">
      <c r="A21" s="2">
        <v>44793</v>
      </c>
      <c r="B21" s="5">
        <v>13</v>
      </c>
      <c r="C21" s="1">
        <v>20</v>
      </c>
    </row>
    <row r="22" spans="1:3" x14ac:dyDescent="0.2">
      <c r="A22" s="2">
        <v>44794</v>
      </c>
      <c r="B22" s="5">
        <v>8</v>
      </c>
      <c r="C22" s="1">
        <v>21</v>
      </c>
    </row>
    <row r="23" spans="1:3" x14ac:dyDescent="0.2">
      <c r="A23" s="2">
        <v>44795</v>
      </c>
      <c r="B23" s="5">
        <v>10</v>
      </c>
      <c r="C23" s="1">
        <v>22</v>
      </c>
    </row>
    <row r="24" spans="1:3" x14ac:dyDescent="0.2">
      <c r="A24" s="2">
        <v>44796</v>
      </c>
      <c r="B24" s="5">
        <v>35</v>
      </c>
      <c r="C24" s="1">
        <v>23</v>
      </c>
    </row>
    <row r="25" spans="1:3" x14ac:dyDescent="0.2">
      <c r="A25" s="2">
        <v>44797</v>
      </c>
      <c r="B25" s="5">
        <v>35</v>
      </c>
      <c r="C25" s="1">
        <v>24</v>
      </c>
    </row>
    <row r="26" spans="1:3" x14ac:dyDescent="0.2">
      <c r="A26" s="2">
        <v>44798</v>
      </c>
      <c r="B26" s="5">
        <v>56</v>
      </c>
      <c r="C26" s="1">
        <v>25</v>
      </c>
    </row>
    <row r="27" spans="1:3" x14ac:dyDescent="0.2">
      <c r="A27" s="2">
        <v>44799</v>
      </c>
      <c r="B27" s="5">
        <v>93</v>
      </c>
      <c r="C27" s="1">
        <v>26</v>
      </c>
    </row>
    <row r="28" spans="1:3" x14ac:dyDescent="0.2">
      <c r="A28" s="2">
        <v>44800</v>
      </c>
      <c r="B28" s="5">
        <v>139</v>
      </c>
      <c r="C28" s="1">
        <v>27</v>
      </c>
    </row>
    <row r="29" spans="1:3" x14ac:dyDescent="0.2">
      <c r="A29" s="2">
        <v>44801</v>
      </c>
      <c r="B29" s="5">
        <v>235</v>
      </c>
      <c r="C29" s="1">
        <v>28</v>
      </c>
    </row>
    <row r="30" spans="1:3" x14ac:dyDescent="0.2">
      <c r="A30" s="2">
        <v>44802</v>
      </c>
      <c r="B30" s="5">
        <v>261</v>
      </c>
      <c r="C30" s="1">
        <v>29</v>
      </c>
    </row>
    <row r="31" spans="1:3" x14ac:dyDescent="0.2">
      <c r="A31" s="2">
        <v>44803</v>
      </c>
      <c r="B31" s="5">
        <v>250</v>
      </c>
      <c r="C31" s="1">
        <v>30</v>
      </c>
    </row>
    <row r="32" spans="1:3" x14ac:dyDescent="0.2">
      <c r="A32" s="2">
        <v>44804</v>
      </c>
      <c r="B32" s="5">
        <v>215</v>
      </c>
      <c r="C32" s="1">
        <v>31</v>
      </c>
    </row>
    <row r="33" spans="1:3" x14ac:dyDescent="0.2">
      <c r="A33" s="2">
        <v>44805</v>
      </c>
      <c r="B33" s="5">
        <v>196</v>
      </c>
      <c r="C33" s="1">
        <v>32</v>
      </c>
    </row>
    <row r="34" spans="1:3" x14ac:dyDescent="0.2">
      <c r="A34" s="2">
        <v>44806</v>
      </c>
      <c r="B34" s="5">
        <v>195</v>
      </c>
      <c r="C34" s="1">
        <v>33</v>
      </c>
    </row>
    <row r="35" spans="1:3" x14ac:dyDescent="0.2">
      <c r="A35" s="2">
        <v>44807</v>
      </c>
      <c r="B35" s="5">
        <f>91+88</f>
        <v>179</v>
      </c>
      <c r="C35" s="1">
        <v>34</v>
      </c>
    </row>
    <row r="36" spans="1:3" x14ac:dyDescent="0.2">
      <c r="A36" s="2">
        <v>44808</v>
      </c>
      <c r="B36" s="5">
        <v>182</v>
      </c>
      <c r="C36" s="1">
        <v>35</v>
      </c>
    </row>
    <row r="37" spans="1:3" x14ac:dyDescent="0.2">
      <c r="A37" s="2">
        <v>44809</v>
      </c>
      <c r="B37" s="5">
        <f>67+70</f>
        <v>137</v>
      </c>
      <c r="C37" s="1">
        <v>36</v>
      </c>
    </row>
    <row r="38" spans="1:3" x14ac:dyDescent="0.2">
      <c r="A38" s="2">
        <v>44810</v>
      </c>
      <c r="B38" s="6">
        <f>77+72</f>
        <v>149</v>
      </c>
      <c r="C38" s="1">
        <v>37</v>
      </c>
    </row>
    <row r="39" spans="1:3" x14ac:dyDescent="0.2">
      <c r="A39" s="2">
        <v>44811</v>
      </c>
      <c r="B39" s="5">
        <f>64+95</f>
        <v>159</v>
      </c>
      <c r="C39" s="1">
        <v>38</v>
      </c>
    </row>
    <row r="40" spans="1:3" x14ac:dyDescent="0.2">
      <c r="A40" s="2">
        <v>44812</v>
      </c>
      <c r="B40" s="5">
        <f>55+71</f>
        <v>126</v>
      </c>
      <c r="C40" s="1">
        <v>39</v>
      </c>
    </row>
    <row r="41" spans="1:3" x14ac:dyDescent="0.2">
      <c r="A41" s="2">
        <v>44813</v>
      </c>
      <c r="B41" s="5">
        <f>61+82</f>
        <v>143</v>
      </c>
      <c r="C41" s="1">
        <v>40</v>
      </c>
    </row>
    <row r="42" spans="1:3" x14ac:dyDescent="0.2">
      <c r="A42" s="2">
        <v>44814</v>
      </c>
      <c r="B42" s="5">
        <f>86+90</f>
        <v>176</v>
      </c>
      <c r="C42" s="1">
        <v>41</v>
      </c>
    </row>
    <row r="43" spans="1:3" x14ac:dyDescent="0.2">
      <c r="A43" s="2">
        <v>44815</v>
      </c>
      <c r="B43" s="5">
        <f>59+62</f>
        <v>121</v>
      </c>
      <c r="C43" s="1">
        <v>42</v>
      </c>
    </row>
    <row r="44" spans="1:3" x14ac:dyDescent="0.2">
      <c r="A44" s="2">
        <v>44816</v>
      </c>
      <c r="B44" s="5">
        <f>97+84</f>
        <v>181</v>
      </c>
      <c r="C44" s="1">
        <v>43</v>
      </c>
    </row>
    <row r="45" spans="1:3" x14ac:dyDescent="0.2">
      <c r="A45" s="2">
        <v>44817</v>
      </c>
      <c r="B45" s="5">
        <f>73+83</f>
        <v>156</v>
      </c>
      <c r="C45" s="1">
        <v>44</v>
      </c>
    </row>
    <row r="46" spans="1:3" x14ac:dyDescent="0.2">
      <c r="A46" s="2">
        <v>44818</v>
      </c>
      <c r="B46" s="5">
        <f>57+159</f>
        <v>216</v>
      </c>
      <c r="C46" s="1">
        <v>45</v>
      </c>
    </row>
    <row r="47" spans="1:3" x14ac:dyDescent="0.2">
      <c r="A47" s="2">
        <v>44819</v>
      </c>
      <c r="B47" s="5">
        <f>25+132</f>
        <v>157</v>
      </c>
      <c r="C47" s="1">
        <v>46</v>
      </c>
    </row>
    <row r="48" spans="1:3" x14ac:dyDescent="0.2">
      <c r="A48" s="2">
        <v>44820</v>
      </c>
      <c r="B48" s="5">
        <f>19+87</f>
        <v>106</v>
      </c>
      <c r="C48" s="1">
        <v>47</v>
      </c>
    </row>
    <row r="49" spans="1:3" x14ac:dyDescent="0.2">
      <c r="A49" s="2">
        <v>44821</v>
      </c>
      <c r="B49" s="5">
        <f>25+82</f>
        <v>107</v>
      </c>
      <c r="C49" s="1">
        <v>48</v>
      </c>
    </row>
    <row r="50" spans="1:3" x14ac:dyDescent="0.2">
      <c r="A50" s="2">
        <v>44822</v>
      </c>
      <c r="B50" s="5">
        <f>21+47</f>
        <v>68</v>
      </c>
      <c r="C50" s="1">
        <v>49</v>
      </c>
    </row>
    <row r="51" spans="1:3" x14ac:dyDescent="0.2">
      <c r="A51" s="2">
        <v>44823</v>
      </c>
      <c r="B51" s="5">
        <f>24+37</f>
        <v>61</v>
      </c>
      <c r="C51" s="1">
        <v>50</v>
      </c>
    </row>
    <row r="52" spans="1:3" x14ac:dyDescent="0.2">
      <c r="A52" s="2">
        <v>44824</v>
      </c>
      <c r="B52" s="5">
        <f>22+27</f>
        <v>49</v>
      </c>
      <c r="C52" s="1">
        <v>51</v>
      </c>
    </row>
    <row r="53" spans="1:3" x14ac:dyDescent="0.2">
      <c r="A53" s="2">
        <v>44825</v>
      </c>
      <c r="B53" s="5">
        <f>23+26</f>
        <v>49</v>
      </c>
      <c r="C53" s="1">
        <v>52</v>
      </c>
    </row>
    <row r="54" spans="1:3" x14ac:dyDescent="0.2">
      <c r="A54" s="2">
        <v>44826</v>
      </c>
      <c r="B54" s="5">
        <v>60</v>
      </c>
      <c r="C54" s="1">
        <v>53</v>
      </c>
    </row>
    <row r="55" spans="1:3" x14ac:dyDescent="0.2">
      <c r="A55" s="2">
        <v>44827</v>
      </c>
      <c r="B55" s="5">
        <f>51-9+51</f>
        <v>93</v>
      </c>
      <c r="C55" s="1">
        <v>54</v>
      </c>
    </row>
    <row r="56" spans="1:3" x14ac:dyDescent="0.2">
      <c r="A56" s="2">
        <v>44828</v>
      </c>
      <c r="B56" s="5">
        <f>29+26</f>
        <v>55</v>
      </c>
      <c r="C56" s="1">
        <v>55</v>
      </c>
    </row>
    <row r="57" spans="1:3" x14ac:dyDescent="0.2">
      <c r="A57" s="2">
        <v>44829</v>
      </c>
      <c r="B57" s="5">
        <v>39</v>
      </c>
      <c r="C57" s="1">
        <v>56</v>
      </c>
    </row>
    <row r="58" spans="1:3" x14ac:dyDescent="0.2">
      <c r="A58" s="2">
        <v>44830</v>
      </c>
      <c r="B58" s="5">
        <f>35+21</f>
        <v>56</v>
      </c>
      <c r="C58" s="1">
        <v>57</v>
      </c>
    </row>
    <row r="59" spans="1:3" x14ac:dyDescent="0.2">
      <c r="A59" s="2">
        <v>44831</v>
      </c>
      <c r="B59" s="5">
        <v>29</v>
      </c>
      <c r="C59" s="1">
        <v>58</v>
      </c>
    </row>
    <row r="60" spans="1:3" x14ac:dyDescent="0.2">
      <c r="A60" s="2">
        <v>44832</v>
      </c>
      <c r="B60" s="5">
        <v>16</v>
      </c>
      <c r="C60" s="1">
        <v>59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2025-08-29T07:33:37Z</dcterms:modified>
</cp:coreProperties>
</file>