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"/>
    </mc:Choice>
  </mc:AlternateContent>
  <xr:revisionPtr revIDLastSave="0" documentId="13_ncr:1_{7BCC4AF4-9EF5-4827-8346-EA61E1ED96D2}" xr6:coauthVersionLast="47" xr6:coauthVersionMax="47" xr10:uidLastSave="{00000000-0000-0000-0000-000000000000}"/>
  <bookViews>
    <workbookView xWindow="0" yWindow="0" windowWidth="20964" windowHeight="11568" xr2:uid="{00000000-000D-0000-FFFF-FFFF00000000}"/>
  </bookViews>
  <sheets>
    <sheet name="合计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15" i="1" l="1"/>
  <c r="AG1015" i="1"/>
  <c r="AC1015" i="1"/>
  <c r="Z1015" i="1"/>
  <c r="R1015" i="1"/>
  <c r="P1015" i="1"/>
  <c r="J1015" i="1"/>
  <c r="I1015" i="1"/>
  <c r="AG1013" i="1"/>
  <c r="AF1013" i="1"/>
  <c r="AD1013" i="1"/>
  <c r="AC1013" i="1"/>
  <c r="Z1013" i="1"/>
  <c r="J1013" i="1"/>
  <c r="I1013" i="1"/>
  <c r="R1012" i="1"/>
  <c r="J1012" i="1"/>
  <c r="AF1011" i="1"/>
  <c r="AD1011" i="1"/>
  <c r="AC1011" i="1"/>
  <c r="R1011" i="1"/>
  <c r="J1011" i="1"/>
  <c r="I1011" i="1"/>
  <c r="AG1009" i="1"/>
  <c r="AC1009" i="1"/>
  <c r="Z1009" i="1"/>
  <c r="J1009" i="1"/>
  <c r="AD1008" i="1"/>
  <c r="AC1008" i="1"/>
  <c r="J1008" i="1"/>
  <c r="AD1007" i="1"/>
  <c r="Z1007" i="1"/>
  <c r="Z1006" i="1"/>
  <c r="AG1005" i="1"/>
  <c r="J1005" i="1"/>
  <c r="Z1003" i="1"/>
  <c r="J1003" i="1"/>
  <c r="J1002" i="1"/>
  <c r="AG1001" i="1"/>
  <c r="R1001" i="1"/>
  <c r="J1001" i="1"/>
  <c r="AG1000" i="1"/>
  <c r="AD1000" i="1"/>
  <c r="AC1000" i="1"/>
  <c r="J1000" i="1"/>
  <c r="AG999" i="1"/>
  <c r="AC999" i="1"/>
  <c r="Z999" i="1"/>
  <c r="AG998" i="1"/>
  <c r="AD998" i="1"/>
  <c r="Z998" i="1"/>
  <c r="W998" i="1"/>
  <c r="J998" i="1"/>
  <c r="AH997" i="1"/>
  <c r="AG997" i="1"/>
  <c r="AF997" i="1"/>
  <c r="AC997" i="1"/>
  <c r="Z997" i="1"/>
  <c r="Q997" i="1"/>
  <c r="AG996" i="1"/>
  <c r="Z996" i="1"/>
  <c r="W996" i="1"/>
  <c r="AH995" i="1"/>
  <c r="AG995" i="1"/>
  <c r="AC995" i="1"/>
  <c r="Z995" i="1"/>
  <c r="P995" i="1"/>
  <c r="F995" i="1"/>
  <c r="AG994" i="1"/>
  <c r="AF994" i="1"/>
  <c r="Z994" i="1"/>
  <c r="W994" i="1"/>
  <c r="P994" i="1"/>
  <c r="J994" i="1"/>
  <c r="B994" i="1"/>
  <c r="AH993" i="1"/>
  <c r="AG993" i="1"/>
  <c r="AF993" i="1"/>
  <c r="Z993" i="1"/>
  <c r="P993" i="1"/>
  <c r="J993" i="1"/>
  <c r="AG992" i="1"/>
  <c r="AF992" i="1"/>
  <c r="Z992" i="1"/>
  <c r="AF991" i="1"/>
  <c r="AD991" i="1"/>
  <c r="Z991" i="1"/>
  <c r="J991" i="1"/>
  <c r="AH990" i="1"/>
  <c r="AF989" i="1"/>
  <c r="Z989" i="1"/>
  <c r="J989" i="1"/>
  <c r="F989" i="1"/>
  <c r="AF988" i="1"/>
  <c r="Z987" i="1"/>
  <c r="AH986" i="1"/>
  <c r="AF986" i="1"/>
  <c r="Z986" i="1"/>
  <c r="X986" i="1"/>
  <c r="L986" i="1"/>
  <c r="J986" i="1"/>
  <c r="AF985" i="1"/>
  <c r="X985" i="1"/>
  <c r="L982" i="1"/>
  <c r="AF980" i="1"/>
  <c r="Q980" i="1"/>
  <c r="Q979" i="1"/>
  <c r="L979" i="1"/>
  <c r="AF978" i="1"/>
  <c r="L978" i="1"/>
  <c r="AF977" i="1"/>
  <c r="Q977" i="1"/>
  <c r="L977" i="1"/>
  <c r="Q976" i="1"/>
  <c r="AF975" i="1"/>
  <c r="Q975" i="1"/>
  <c r="L975" i="1"/>
  <c r="AF974" i="1"/>
  <c r="L974" i="1"/>
  <c r="AF973" i="1"/>
  <c r="L973" i="1"/>
  <c r="AF972" i="1"/>
  <c r="AF971" i="1"/>
  <c r="L971" i="1"/>
  <c r="AF970" i="1"/>
  <c r="L970" i="1"/>
  <c r="AF969" i="1"/>
  <c r="AF968" i="1"/>
  <c r="AF967" i="1"/>
  <c r="AF966" i="1"/>
  <c r="AF965" i="1"/>
  <c r="AF964" i="1"/>
  <c r="Z964" i="1"/>
  <c r="AF963" i="1"/>
  <c r="Z963" i="1"/>
  <c r="AF962" i="1"/>
  <c r="AB962" i="1"/>
  <c r="Z962" i="1"/>
  <c r="J962" i="1"/>
  <c r="AF961" i="1"/>
  <c r="AB961" i="1"/>
  <c r="Z961" i="1"/>
  <c r="AF960" i="1"/>
  <c r="AB960" i="1"/>
  <c r="Z960" i="1"/>
  <c r="Q960" i="1"/>
  <c r="J960" i="1"/>
  <c r="AF959" i="1"/>
  <c r="Z959" i="1"/>
  <c r="Q959" i="1"/>
  <c r="J959" i="1"/>
  <c r="J958" i="1"/>
  <c r="AF957" i="1"/>
  <c r="W957" i="1"/>
  <c r="J957" i="1"/>
  <c r="D957" i="1"/>
  <c r="AG947" i="1"/>
  <c r="AD947" i="1"/>
  <c r="F947" i="1"/>
  <c r="AG945" i="1"/>
  <c r="AG944" i="1"/>
  <c r="AD944" i="1"/>
  <c r="AG943" i="1"/>
  <c r="AD943" i="1"/>
  <c r="AG942" i="1"/>
  <c r="AD942" i="1"/>
  <c r="AG941" i="1"/>
  <c r="AG940" i="1"/>
  <c r="AG939" i="1"/>
  <c r="AG938" i="1"/>
  <c r="AG936" i="1"/>
  <c r="AG935" i="1"/>
  <c r="AG934" i="1"/>
  <c r="AG932" i="1"/>
  <c r="AG931" i="1"/>
  <c r="AG930" i="1"/>
  <c r="AG929" i="1"/>
  <c r="AG928" i="1"/>
  <c r="AG926" i="1"/>
  <c r="AG925" i="1"/>
  <c r="C876" i="1"/>
  <c r="C860" i="1"/>
  <c r="E859" i="1"/>
  <c r="E858" i="1"/>
  <c r="E857" i="1"/>
  <c r="E856" i="1"/>
  <c r="E855" i="1"/>
  <c r="E850" i="1"/>
  <c r="AF846" i="1"/>
  <c r="E846" i="1"/>
  <c r="C846" i="1"/>
  <c r="AF827" i="1"/>
  <c r="E827" i="1"/>
</calcChain>
</file>

<file path=xl/sharedStrings.xml><?xml version="1.0" encoding="utf-8"?>
<sst xmlns="http://schemas.openxmlformats.org/spreadsheetml/2006/main" count="93" uniqueCount="63">
  <si>
    <t>江苏</t>
  </si>
  <si>
    <t>北京</t>
  </si>
  <si>
    <t>天津</t>
  </si>
  <si>
    <t>上海</t>
  </si>
  <si>
    <t>重庆</t>
  </si>
  <si>
    <t>安徽</t>
  </si>
  <si>
    <t>福建</t>
  </si>
  <si>
    <t>广东</t>
  </si>
  <si>
    <t>广西</t>
  </si>
  <si>
    <t>贵州</t>
  </si>
  <si>
    <t>甘肃</t>
  </si>
  <si>
    <t>海南</t>
  </si>
  <si>
    <t>河南</t>
  </si>
  <si>
    <t>黑龙江</t>
  </si>
  <si>
    <t>湖南</t>
  </si>
  <si>
    <t>河北</t>
  </si>
  <si>
    <t>江西</t>
  </si>
  <si>
    <t>吉林</t>
  </si>
  <si>
    <t>辽宁</t>
  </si>
  <si>
    <t>宁夏</t>
  </si>
  <si>
    <t>内蒙古</t>
  </si>
  <si>
    <t>青海</t>
  </si>
  <si>
    <t>山东</t>
  </si>
  <si>
    <t>山西</t>
  </si>
  <si>
    <t>陕西</t>
  </si>
  <si>
    <t>四川</t>
  </si>
  <si>
    <t>新疆</t>
  </si>
  <si>
    <t>云南</t>
  </si>
  <si>
    <t>浙江</t>
  </si>
  <si>
    <t>湖北</t>
  </si>
  <si>
    <t>内蒙古9</t>
    <phoneticPr fontId="3" type="noConversion"/>
  </si>
  <si>
    <t>青海4</t>
    <phoneticPr fontId="3" type="noConversion"/>
  </si>
  <si>
    <t>山东9</t>
    <phoneticPr fontId="3" type="noConversion"/>
  </si>
  <si>
    <t>山西5</t>
    <phoneticPr fontId="3" type="noConversion"/>
  </si>
  <si>
    <t>陕西5</t>
    <phoneticPr fontId="3" type="noConversion"/>
  </si>
  <si>
    <t>江苏6</t>
    <phoneticPr fontId="3" type="noConversion"/>
  </si>
  <si>
    <t>北京8</t>
    <phoneticPr fontId="3" type="noConversion"/>
  </si>
  <si>
    <t>上海5</t>
    <phoneticPr fontId="3" type="noConversion"/>
  </si>
  <si>
    <t>天津9</t>
    <phoneticPr fontId="3" type="noConversion"/>
  </si>
  <si>
    <t>重庆6</t>
    <phoneticPr fontId="3" type="noConversion"/>
  </si>
  <si>
    <t>浙江9</t>
    <phoneticPr fontId="3" type="noConversion"/>
  </si>
  <si>
    <t>云南9</t>
    <phoneticPr fontId="3" type="noConversion"/>
  </si>
  <si>
    <t>新疆8</t>
    <phoneticPr fontId="3" type="noConversion"/>
  </si>
  <si>
    <t>四川6</t>
    <phoneticPr fontId="3" type="noConversion"/>
  </si>
  <si>
    <t>甘肃8</t>
    <phoneticPr fontId="3" type="noConversion"/>
  </si>
  <si>
    <t>河南9</t>
    <phoneticPr fontId="3" type="noConversion"/>
  </si>
  <si>
    <t>黑龙江9</t>
    <phoneticPr fontId="3" type="noConversion"/>
  </si>
  <si>
    <t>湖南4</t>
    <phoneticPr fontId="3" type="noConversion"/>
  </si>
  <si>
    <t>安徽7</t>
    <phoneticPr fontId="3" type="noConversion"/>
  </si>
  <si>
    <t>福建5</t>
    <phoneticPr fontId="3" type="noConversion"/>
  </si>
  <si>
    <t>广西10</t>
    <phoneticPr fontId="3" type="noConversion"/>
  </si>
  <si>
    <t>广东8</t>
    <phoneticPr fontId="3" type="noConversion"/>
  </si>
  <si>
    <t>贵州3</t>
    <phoneticPr fontId="3" type="noConversion"/>
  </si>
  <si>
    <t>湖北7</t>
    <phoneticPr fontId="3" type="noConversion"/>
  </si>
  <si>
    <t>西藏0</t>
    <phoneticPr fontId="3" type="noConversion"/>
  </si>
  <si>
    <t>河北13</t>
    <phoneticPr fontId="3" type="noConversion"/>
  </si>
  <si>
    <t>江西7</t>
    <phoneticPr fontId="3" type="noConversion"/>
  </si>
  <si>
    <t>吉林7</t>
    <phoneticPr fontId="3" type="noConversion"/>
  </si>
  <si>
    <t>辽宁10</t>
    <phoneticPr fontId="3" type="noConversion"/>
  </si>
  <si>
    <t>宁夏2</t>
    <phoneticPr fontId="3" type="noConversion"/>
  </si>
  <si>
    <t>日期</t>
    <phoneticPr fontId="3" type="noConversion"/>
  </si>
  <si>
    <t>海南3</t>
    <phoneticPr fontId="3" type="noConversion"/>
  </si>
  <si>
    <t>30省共210波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</si>
</sst>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9"/>
      <name val="等线"/>
      <charset val="134"/>
      <scheme val="minor"/>
    </font>
    <font>
      <sz val="1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5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4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22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23" borderId="0" xfId="0" applyFill="1" applyAlignment="1">
      <alignment horizontal="center"/>
    </xf>
    <xf numFmtId="0" fontId="0" fillId="2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6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13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29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31" borderId="0" xfId="0" applyFill="1" applyAlignment="1">
      <alignment horizontal="center"/>
    </xf>
    <xf numFmtId="0" fontId="0" fillId="32" borderId="0" xfId="0" applyFill="1" applyAlignment="1">
      <alignment horizontal="center"/>
    </xf>
    <xf numFmtId="0" fontId="0" fillId="20" borderId="0" xfId="0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5" fillId="1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176" fontId="5" fillId="11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02969942394898E-2"/>
          <c:y val="4.26352565472616E-2"/>
          <c:w val="0.94162312630484202"/>
          <c:h val="0.74708393288151898"/>
        </c:manualLayout>
      </c:layout>
      <c:lineChart>
        <c:grouping val="standard"/>
        <c:varyColors val="0"/>
        <c:ser>
          <c:idx val="0"/>
          <c:order val="0"/>
          <c:tx>
            <c:strRef>
              <c:f>[1]画图1!$B$1</c:f>
              <c:strCache>
                <c:ptCount val="1"/>
                <c:pt idx="0">
                  <c:v>江苏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[1]画图1!$B$2:$B$348</c:f>
              <c:numCache>
                <c:formatCode>General</c:formatCode>
                <c:ptCount val="347"/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12</c:v>
                </c:pt>
                <c:pt idx="45">
                  <c:v>22</c:v>
                </c:pt>
                <c:pt idx="46">
                  <c:v>23</c:v>
                </c:pt>
                <c:pt idx="47">
                  <c:v>16</c:v>
                </c:pt>
                <c:pt idx="48">
                  <c:v>28</c:v>
                </c:pt>
                <c:pt idx="49">
                  <c:v>16</c:v>
                </c:pt>
                <c:pt idx="50">
                  <c:v>17</c:v>
                </c:pt>
                <c:pt idx="51">
                  <c:v>14</c:v>
                </c:pt>
                <c:pt idx="52">
                  <c:v>5</c:v>
                </c:pt>
                <c:pt idx="53">
                  <c:v>8</c:v>
                </c:pt>
                <c:pt idx="54">
                  <c:v>2</c:v>
                </c:pt>
                <c:pt idx="55">
                  <c:v>4</c:v>
                </c:pt>
                <c:pt idx="56">
                  <c:v>2</c:v>
                </c:pt>
                <c:pt idx="57">
                  <c:v>0</c:v>
                </c:pt>
                <c:pt idx="58">
                  <c:v>3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7</c:v>
                </c:pt>
                <c:pt idx="64">
                  <c:v>6</c:v>
                </c:pt>
                <c:pt idx="65">
                  <c:v>15</c:v>
                </c:pt>
                <c:pt idx="66">
                  <c:v>15</c:v>
                </c:pt>
                <c:pt idx="67">
                  <c:v>18</c:v>
                </c:pt>
                <c:pt idx="68">
                  <c:v>48</c:v>
                </c:pt>
                <c:pt idx="69">
                  <c:v>33</c:v>
                </c:pt>
                <c:pt idx="70">
                  <c:v>42</c:v>
                </c:pt>
                <c:pt idx="71">
                  <c:v>38</c:v>
                </c:pt>
                <c:pt idx="72">
                  <c:v>46</c:v>
                </c:pt>
                <c:pt idx="73">
                  <c:v>72</c:v>
                </c:pt>
                <c:pt idx="74">
                  <c:v>72</c:v>
                </c:pt>
                <c:pt idx="75">
                  <c:v>51</c:v>
                </c:pt>
                <c:pt idx="76">
                  <c:v>37</c:v>
                </c:pt>
                <c:pt idx="77">
                  <c:v>50</c:v>
                </c:pt>
                <c:pt idx="78">
                  <c:v>58</c:v>
                </c:pt>
                <c:pt idx="79">
                  <c:v>31</c:v>
                </c:pt>
                <c:pt idx="80">
                  <c:v>24</c:v>
                </c:pt>
                <c:pt idx="81">
                  <c:v>19</c:v>
                </c:pt>
                <c:pt idx="82">
                  <c:v>25</c:v>
                </c:pt>
                <c:pt idx="83">
                  <c:v>13</c:v>
                </c:pt>
                <c:pt idx="84">
                  <c:v>17</c:v>
                </c:pt>
                <c:pt idx="85">
                  <c:v>19</c:v>
                </c:pt>
                <c:pt idx="86">
                  <c:v>24</c:v>
                </c:pt>
                <c:pt idx="87">
                  <c:v>33</c:v>
                </c:pt>
                <c:pt idx="88">
                  <c:v>45</c:v>
                </c:pt>
                <c:pt idx="89">
                  <c:v>43</c:v>
                </c:pt>
                <c:pt idx="90">
                  <c:v>65</c:v>
                </c:pt>
                <c:pt idx="91">
                  <c:v>47</c:v>
                </c:pt>
                <c:pt idx="92">
                  <c:v>59</c:v>
                </c:pt>
                <c:pt idx="93">
                  <c:v>76</c:v>
                </c:pt>
                <c:pt idx="94">
                  <c:v>76</c:v>
                </c:pt>
                <c:pt idx="95">
                  <c:v>78</c:v>
                </c:pt>
                <c:pt idx="96">
                  <c:v>75</c:v>
                </c:pt>
                <c:pt idx="97">
                  <c:v>78</c:v>
                </c:pt>
                <c:pt idx="98">
                  <c:v>70</c:v>
                </c:pt>
                <c:pt idx="99">
                  <c:v>53</c:v>
                </c:pt>
                <c:pt idx="100">
                  <c:v>75</c:v>
                </c:pt>
                <c:pt idx="101">
                  <c:v>74</c:v>
                </c:pt>
                <c:pt idx="102">
                  <c:v>53</c:v>
                </c:pt>
                <c:pt idx="103">
                  <c:v>50</c:v>
                </c:pt>
                <c:pt idx="104">
                  <c:v>56</c:v>
                </c:pt>
                <c:pt idx="105">
                  <c:v>87</c:v>
                </c:pt>
                <c:pt idx="106">
                  <c:v>95</c:v>
                </c:pt>
                <c:pt idx="107">
                  <c:v>133</c:v>
                </c:pt>
                <c:pt idx="108">
                  <c:v>100</c:v>
                </c:pt>
                <c:pt idx="109">
                  <c:v>119</c:v>
                </c:pt>
                <c:pt idx="110">
                  <c:v>131</c:v>
                </c:pt>
                <c:pt idx="111">
                  <c:v>131</c:v>
                </c:pt>
                <c:pt idx="112">
                  <c:v>124</c:v>
                </c:pt>
                <c:pt idx="113">
                  <c:v>96</c:v>
                </c:pt>
                <c:pt idx="114">
                  <c:v>114</c:v>
                </c:pt>
                <c:pt idx="115">
                  <c:v>80</c:v>
                </c:pt>
                <c:pt idx="116">
                  <c:v>74</c:v>
                </c:pt>
                <c:pt idx="117">
                  <c:v>49</c:v>
                </c:pt>
                <c:pt idx="118">
                  <c:v>20</c:v>
                </c:pt>
                <c:pt idx="119">
                  <c:v>9</c:v>
                </c:pt>
                <c:pt idx="120">
                  <c:v>16</c:v>
                </c:pt>
                <c:pt idx="121">
                  <c:v>13</c:v>
                </c:pt>
                <c:pt idx="122">
                  <c:v>25</c:v>
                </c:pt>
                <c:pt idx="123">
                  <c:v>29</c:v>
                </c:pt>
                <c:pt idx="124">
                  <c:v>48</c:v>
                </c:pt>
                <c:pt idx="125">
                  <c:v>70</c:v>
                </c:pt>
                <c:pt idx="126">
                  <c:v>61</c:v>
                </c:pt>
                <c:pt idx="127">
                  <c:v>62</c:v>
                </c:pt>
                <c:pt idx="128">
                  <c:v>55</c:v>
                </c:pt>
                <c:pt idx="129">
                  <c:v>49</c:v>
                </c:pt>
                <c:pt idx="130">
                  <c:v>47</c:v>
                </c:pt>
                <c:pt idx="131">
                  <c:v>35</c:v>
                </c:pt>
                <c:pt idx="132">
                  <c:v>17</c:v>
                </c:pt>
                <c:pt idx="133">
                  <c:v>9</c:v>
                </c:pt>
                <c:pt idx="134">
                  <c:v>2</c:v>
                </c:pt>
                <c:pt idx="135">
                  <c:v>1</c:v>
                </c:pt>
                <c:pt idx="136">
                  <c:v>4</c:v>
                </c:pt>
                <c:pt idx="137">
                  <c:v>2</c:v>
                </c:pt>
                <c:pt idx="138">
                  <c:v>0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1</c:v>
                </c:pt>
                <c:pt idx="143">
                  <c:v>1</c:v>
                </c:pt>
                <c:pt idx="144">
                  <c:v>4</c:v>
                </c:pt>
                <c:pt idx="145">
                  <c:v>2</c:v>
                </c:pt>
                <c:pt idx="146">
                  <c:v>6</c:v>
                </c:pt>
                <c:pt idx="147">
                  <c:v>3</c:v>
                </c:pt>
                <c:pt idx="152">
                  <c:v>1</c:v>
                </c:pt>
                <c:pt idx="157">
                  <c:v>1</c:v>
                </c:pt>
                <c:pt idx="163">
                  <c:v>1</c:v>
                </c:pt>
                <c:pt idx="178">
                  <c:v>6</c:v>
                </c:pt>
                <c:pt idx="179">
                  <c:v>14</c:v>
                </c:pt>
                <c:pt idx="180">
                  <c:v>12</c:v>
                </c:pt>
                <c:pt idx="181">
                  <c:v>30</c:v>
                </c:pt>
                <c:pt idx="182">
                  <c:v>59</c:v>
                </c:pt>
                <c:pt idx="183">
                  <c:v>56</c:v>
                </c:pt>
                <c:pt idx="184">
                  <c:v>66</c:v>
                </c:pt>
                <c:pt idx="185">
                  <c:v>63</c:v>
                </c:pt>
                <c:pt idx="186">
                  <c:v>61</c:v>
                </c:pt>
                <c:pt idx="187">
                  <c:v>69</c:v>
                </c:pt>
                <c:pt idx="188">
                  <c:v>78</c:v>
                </c:pt>
                <c:pt idx="189">
                  <c:v>62</c:v>
                </c:pt>
                <c:pt idx="190">
                  <c:v>60</c:v>
                </c:pt>
                <c:pt idx="191">
                  <c:v>28</c:v>
                </c:pt>
                <c:pt idx="192">
                  <c:v>17</c:v>
                </c:pt>
                <c:pt idx="193">
                  <c:v>9</c:v>
                </c:pt>
                <c:pt idx="194">
                  <c:v>13</c:v>
                </c:pt>
                <c:pt idx="195">
                  <c:v>5</c:v>
                </c:pt>
                <c:pt idx="196">
                  <c:v>5</c:v>
                </c:pt>
                <c:pt idx="197">
                  <c:v>3</c:v>
                </c:pt>
                <c:pt idx="198">
                  <c:v>1</c:v>
                </c:pt>
                <c:pt idx="199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17">
                  <c:v>1</c:v>
                </c:pt>
                <c:pt idx="223">
                  <c:v>1</c:v>
                </c:pt>
                <c:pt idx="225">
                  <c:v>1</c:v>
                </c:pt>
                <c:pt idx="226">
                  <c:v>4</c:v>
                </c:pt>
                <c:pt idx="227">
                  <c:v>11</c:v>
                </c:pt>
                <c:pt idx="228">
                  <c:v>1</c:v>
                </c:pt>
                <c:pt idx="229">
                  <c:v>5</c:v>
                </c:pt>
                <c:pt idx="230">
                  <c:v>1</c:v>
                </c:pt>
                <c:pt idx="231">
                  <c:v>1</c:v>
                </c:pt>
                <c:pt idx="235">
                  <c:v>1</c:v>
                </c:pt>
                <c:pt idx="236">
                  <c:v>5</c:v>
                </c:pt>
                <c:pt idx="237">
                  <c:v>4</c:v>
                </c:pt>
                <c:pt idx="238">
                  <c:v>2</c:v>
                </c:pt>
                <c:pt idx="239">
                  <c:v>6</c:v>
                </c:pt>
                <c:pt idx="240">
                  <c:v>3</c:v>
                </c:pt>
                <c:pt idx="241">
                  <c:v>3</c:v>
                </c:pt>
                <c:pt idx="242">
                  <c:v>5</c:v>
                </c:pt>
                <c:pt idx="243">
                  <c:v>2</c:v>
                </c:pt>
                <c:pt idx="249">
                  <c:v>1</c:v>
                </c:pt>
                <c:pt idx="250">
                  <c:v>4</c:v>
                </c:pt>
                <c:pt idx="251">
                  <c:v>3</c:v>
                </c:pt>
                <c:pt idx="252">
                  <c:v>1</c:v>
                </c:pt>
                <c:pt idx="253">
                  <c:v>1</c:v>
                </c:pt>
                <c:pt idx="256">
                  <c:v>2</c:v>
                </c:pt>
                <c:pt idx="257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3</c:v>
                </c:pt>
                <c:pt idx="266">
                  <c:v>2</c:v>
                </c:pt>
                <c:pt idx="267">
                  <c:v>5</c:v>
                </c:pt>
                <c:pt idx="268">
                  <c:v>2</c:v>
                </c:pt>
                <c:pt idx="269">
                  <c:v>4</c:v>
                </c:pt>
                <c:pt idx="270">
                  <c:v>5</c:v>
                </c:pt>
                <c:pt idx="271">
                  <c:v>4</c:v>
                </c:pt>
                <c:pt idx="272">
                  <c:v>1</c:v>
                </c:pt>
                <c:pt idx="273">
                  <c:v>1</c:v>
                </c:pt>
                <c:pt idx="274">
                  <c:v>5</c:v>
                </c:pt>
                <c:pt idx="275">
                  <c:v>15</c:v>
                </c:pt>
                <c:pt idx="276">
                  <c:v>40</c:v>
                </c:pt>
                <c:pt idx="277">
                  <c:v>22</c:v>
                </c:pt>
                <c:pt idx="278">
                  <c:v>24</c:v>
                </c:pt>
                <c:pt idx="279">
                  <c:v>26</c:v>
                </c:pt>
                <c:pt idx="280">
                  <c:v>17</c:v>
                </c:pt>
                <c:pt idx="281">
                  <c:v>19</c:v>
                </c:pt>
                <c:pt idx="282">
                  <c:v>25</c:v>
                </c:pt>
                <c:pt idx="283">
                  <c:v>25</c:v>
                </c:pt>
                <c:pt idx="284">
                  <c:v>27</c:v>
                </c:pt>
                <c:pt idx="285">
                  <c:v>32</c:v>
                </c:pt>
                <c:pt idx="286">
                  <c:v>29</c:v>
                </c:pt>
                <c:pt idx="287">
                  <c:v>27</c:v>
                </c:pt>
                <c:pt idx="288">
                  <c:v>29</c:v>
                </c:pt>
                <c:pt idx="289">
                  <c:v>28</c:v>
                </c:pt>
                <c:pt idx="290">
                  <c:v>23</c:v>
                </c:pt>
                <c:pt idx="291">
                  <c:v>24</c:v>
                </c:pt>
                <c:pt idx="292">
                  <c:v>16</c:v>
                </c:pt>
                <c:pt idx="293">
                  <c:v>19</c:v>
                </c:pt>
                <c:pt idx="294">
                  <c:v>14</c:v>
                </c:pt>
                <c:pt idx="295">
                  <c:v>19</c:v>
                </c:pt>
                <c:pt idx="296">
                  <c:v>15</c:v>
                </c:pt>
                <c:pt idx="297">
                  <c:v>22</c:v>
                </c:pt>
                <c:pt idx="298">
                  <c:v>29</c:v>
                </c:pt>
                <c:pt idx="299">
                  <c:v>34</c:v>
                </c:pt>
                <c:pt idx="300">
                  <c:v>32</c:v>
                </c:pt>
                <c:pt idx="301">
                  <c:v>33</c:v>
                </c:pt>
                <c:pt idx="302">
                  <c:v>32</c:v>
                </c:pt>
                <c:pt idx="303">
                  <c:v>23</c:v>
                </c:pt>
                <c:pt idx="304">
                  <c:v>19</c:v>
                </c:pt>
                <c:pt idx="305">
                  <c:v>22</c:v>
                </c:pt>
                <c:pt idx="306">
                  <c:v>14</c:v>
                </c:pt>
                <c:pt idx="307">
                  <c:v>14</c:v>
                </c:pt>
                <c:pt idx="308">
                  <c:v>12</c:v>
                </c:pt>
                <c:pt idx="309">
                  <c:v>9</c:v>
                </c:pt>
                <c:pt idx="310">
                  <c:v>9</c:v>
                </c:pt>
                <c:pt idx="311">
                  <c:v>9</c:v>
                </c:pt>
                <c:pt idx="312">
                  <c:v>10</c:v>
                </c:pt>
                <c:pt idx="313">
                  <c:v>14</c:v>
                </c:pt>
                <c:pt idx="314">
                  <c:v>23</c:v>
                </c:pt>
                <c:pt idx="315">
                  <c:v>40</c:v>
                </c:pt>
                <c:pt idx="316">
                  <c:v>75</c:v>
                </c:pt>
                <c:pt idx="317">
                  <c:v>73</c:v>
                </c:pt>
                <c:pt idx="318">
                  <c:v>149</c:v>
                </c:pt>
                <c:pt idx="319">
                  <c:v>156</c:v>
                </c:pt>
                <c:pt idx="320">
                  <c:v>140</c:v>
                </c:pt>
                <c:pt idx="321">
                  <c:v>172</c:v>
                </c:pt>
                <c:pt idx="322">
                  <c:v>185</c:v>
                </c:pt>
                <c:pt idx="323">
                  <c:v>242</c:v>
                </c:pt>
                <c:pt idx="324">
                  <c:v>278</c:v>
                </c:pt>
                <c:pt idx="325">
                  <c:v>336</c:v>
                </c:pt>
                <c:pt idx="326">
                  <c:v>329</c:v>
                </c:pt>
                <c:pt idx="327">
                  <c:v>347</c:v>
                </c:pt>
                <c:pt idx="328">
                  <c:v>380</c:v>
                </c:pt>
                <c:pt idx="329">
                  <c:v>417</c:v>
                </c:pt>
                <c:pt idx="330">
                  <c:v>423</c:v>
                </c:pt>
                <c:pt idx="331">
                  <c:v>457</c:v>
                </c:pt>
                <c:pt idx="332">
                  <c:v>514</c:v>
                </c:pt>
                <c:pt idx="333">
                  <c:v>517</c:v>
                </c:pt>
                <c:pt idx="334">
                  <c:v>548</c:v>
                </c:pt>
                <c:pt idx="335">
                  <c:v>592</c:v>
                </c:pt>
                <c:pt idx="336">
                  <c:v>588</c:v>
                </c:pt>
                <c:pt idx="337">
                  <c:v>575</c:v>
                </c:pt>
                <c:pt idx="338">
                  <c:v>497</c:v>
                </c:pt>
                <c:pt idx="339">
                  <c:v>440</c:v>
                </c:pt>
                <c:pt idx="340">
                  <c:v>377</c:v>
                </c:pt>
                <c:pt idx="341">
                  <c:v>296</c:v>
                </c:pt>
                <c:pt idx="342">
                  <c:v>249</c:v>
                </c:pt>
                <c:pt idx="343">
                  <c:v>184</c:v>
                </c:pt>
                <c:pt idx="344">
                  <c:v>108</c:v>
                </c:pt>
                <c:pt idx="345">
                  <c:v>79</c:v>
                </c:pt>
                <c:pt idx="34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3-449C-B8A0-4CAED72097A2}"/>
            </c:ext>
          </c:extLst>
        </c:ser>
        <c:ser>
          <c:idx val="1"/>
          <c:order val="1"/>
          <c:tx>
            <c:strRef>
              <c:f>[1]画图1!$C$1</c:f>
              <c:strCache>
                <c:ptCount val="1"/>
                <c:pt idx="0">
                  <c:v>北京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[1]画图1!$C$2:$C$348</c:f>
              <c:numCache>
                <c:formatCode>General</c:formatCode>
                <c:ptCount val="347"/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5</c:v>
                </c:pt>
                <c:pt idx="20">
                  <c:v>16</c:v>
                </c:pt>
                <c:pt idx="21">
                  <c:v>13</c:v>
                </c:pt>
                <c:pt idx="22">
                  <c:v>8</c:v>
                </c:pt>
                <c:pt idx="23">
                  <c:v>6</c:v>
                </c:pt>
                <c:pt idx="24">
                  <c:v>19</c:v>
                </c:pt>
                <c:pt idx="25">
                  <c:v>5</c:v>
                </c:pt>
                <c:pt idx="26">
                  <c:v>9</c:v>
                </c:pt>
                <c:pt idx="27">
                  <c:v>5</c:v>
                </c:pt>
                <c:pt idx="28">
                  <c:v>20</c:v>
                </c:pt>
                <c:pt idx="29">
                  <c:v>3</c:v>
                </c:pt>
                <c:pt idx="30">
                  <c:v>3</c:v>
                </c:pt>
                <c:pt idx="31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3</c:v>
                </c:pt>
                <c:pt idx="65">
                  <c:v>1</c:v>
                </c:pt>
                <c:pt idx="66">
                  <c:v>6</c:v>
                </c:pt>
                <c:pt idx="67">
                  <c:v>5</c:v>
                </c:pt>
                <c:pt idx="68">
                  <c:v>6</c:v>
                </c:pt>
                <c:pt idx="69">
                  <c:v>1</c:v>
                </c:pt>
                <c:pt idx="70">
                  <c:v>6</c:v>
                </c:pt>
                <c:pt idx="71">
                  <c:v>8</c:v>
                </c:pt>
                <c:pt idx="72">
                  <c:v>6</c:v>
                </c:pt>
                <c:pt idx="73">
                  <c:v>10</c:v>
                </c:pt>
                <c:pt idx="74">
                  <c:v>4</c:v>
                </c:pt>
                <c:pt idx="75">
                  <c:v>8</c:v>
                </c:pt>
                <c:pt idx="76">
                  <c:v>1</c:v>
                </c:pt>
                <c:pt idx="77">
                  <c:v>1</c:v>
                </c:pt>
                <c:pt idx="78">
                  <c:v>4</c:v>
                </c:pt>
                <c:pt idx="79">
                  <c:v>6</c:v>
                </c:pt>
                <c:pt idx="80">
                  <c:v>4</c:v>
                </c:pt>
                <c:pt idx="81">
                  <c:v>4</c:v>
                </c:pt>
                <c:pt idx="82">
                  <c:v>0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92">
                  <c:v>1</c:v>
                </c:pt>
                <c:pt idx="93">
                  <c:v>9</c:v>
                </c:pt>
                <c:pt idx="94">
                  <c:v>5</c:v>
                </c:pt>
                <c:pt idx="95">
                  <c:v>3</c:v>
                </c:pt>
                <c:pt idx="96">
                  <c:v>9</c:v>
                </c:pt>
                <c:pt idx="97">
                  <c:v>6</c:v>
                </c:pt>
                <c:pt idx="98">
                  <c:v>3</c:v>
                </c:pt>
                <c:pt idx="99">
                  <c:v>0</c:v>
                </c:pt>
                <c:pt idx="100">
                  <c:v>4</c:v>
                </c:pt>
                <c:pt idx="101">
                  <c:v>0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3</c:v>
                </c:pt>
                <c:pt idx="107">
                  <c:v>2</c:v>
                </c:pt>
                <c:pt idx="108">
                  <c:v>2</c:v>
                </c:pt>
                <c:pt idx="109">
                  <c:v>1</c:v>
                </c:pt>
                <c:pt idx="110">
                  <c:v>1</c:v>
                </c:pt>
                <c:pt idx="111">
                  <c:v>6</c:v>
                </c:pt>
                <c:pt idx="112">
                  <c:v>22</c:v>
                </c:pt>
                <c:pt idx="113">
                  <c:v>19</c:v>
                </c:pt>
                <c:pt idx="114">
                  <c:v>32</c:v>
                </c:pt>
                <c:pt idx="115">
                  <c:v>37</c:v>
                </c:pt>
                <c:pt idx="116">
                  <c:v>50</c:v>
                </c:pt>
                <c:pt idx="117">
                  <c:v>49</c:v>
                </c:pt>
                <c:pt idx="118">
                  <c:v>52</c:v>
                </c:pt>
                <c:pt idx="119">
                  <c:v>59</c:v>
                </c:pt>
                <c:pt idx="120">
                  <c:v>39</c:v>
                </c:pt>
                <c:pt idx="121">
                  <c:v>59</c:v>
                </c:pt>
                <c:pt idx="122">
                  <c:v>51</c:v>
                </c:pt>
                <c:pt idx="123">
                  <c:v>50</c:v>
                </c:pt>
                <c:pt idx="124">
                  <c:v>72</c:v>
                </c:pt>
                <c:pt idx="125">
                  <c:v>49</c:v>
                </c:pt>
                <c:pt idx="126">
                  <c:v>62</c:v>
                </c:pt>
                <c:pt idx="127">
                  <c:v>44</c:v>
                </c:pt>
                <c:pt idx="128">
                  <c:v>71</c:v>
                </c:pt>
                <c:pt idx="129">
                  <c:v>35</c:v>
                </c:pt>
                <c:pt idx="130">
                  <c:v>45</c:v>
                </c:pt>
                <c:pt idx="131">
                  <c:v>47</c:v>
                </c:pt>
                <c:pt idx="132">
                  <c:v>55</c:v>
                </c:pt>
                <c:pt idx="133">
                  <c:v>34</c:v>
                </c:pt>
                <c:pt idx="134">
                  <c:v>49</c:v>
                </c:pt>
                <c:pt idx="135">
                  <c:v>44</c:v>
                </c:pt>
                <c:pt idx="136">
                  <c:v>60</c:v>
                </c:pt>
                <c:pt idx="137">
                  <c:v>53</c:v>
                </c:pt>
                <c:pt idx="138">
                  <c:v>56</c:v>
                </c:pt>
                <c:pt idx="139">
                  <c:v>68</c:v>
                </c:pt>
                <c:pt idx="140">
                  <c:v>60</c:v>
                </c:pt>
                <c:pt idx="141">
                  <c:v>96</c:v>
                </c:pt>
                <c:pt idx="142">
                  <c:v>46</c:v>
                </c:pt>
                <c:pt idx="143">
                  <c:v>43</c:v>
                </c:pt>
                <c:pt idx="144">
                  <c:v>43</c:v>
                </c:pt>
                <c:pt idx="145">
                  <c:v>27</c:v>
                </c:pt>
                <c:pt idx="146">
                  <c:v>23</c:v>
                </c:pt>
                <c:pt idx="147">
                  <c:v>19</c:v>
                </c:pt>
                <c:pt idx="148">
                  <c:v>11</c:v>
                </c:pt>
                <c:pt idx="149">
                  <c:v>18</c:v>
                </c:pt>
                <c:pt idx="150">
                  <c:v>14</c:v>
                </c:pt>
                <c:pt idx="151">
                  <c:v>14</c:v>
                </c:pt>
                <c:pt idx="152">
                  <c:v>15</c:v>
                </c:pt>
                <c:pt idx="153">
                  <c:v>5</c:v>
                </c:pt>
                <c:pt idx="154">
                  <c:v>17</c:v>
                </c:pt>
                <c:pt idx="155">
                  <c:v>5</c:v>
                </c:pt>
                <c:pt idx="156">
                  <c:v>2</c:v>
                </c:pt>
                <c:pt idx="157">
                  <c:v>7</c:v>
                </c:pt>
                <c:pt idx="159">
                  <c:v>8</c:v>
                </c:pt>
                <c:pt idx="160">
                  <c:v>61</c:v>
                </c:pt>
                <c:pt idx="161">
                  <c:v>64</c:v>
                </c:pt>
                <c:pt idx="162">
                  <c:v>40</c:v>
                </c:pt>
                <c:pt idx="163">
                  <c:v>74</c:v>
                </c:pt>
                <c:pt idx="164">
                  <c:v>63</c:v>
                </c:pt>
                <c:pt idx="165">
                  <c:v>18</c:v>
                </c:pt>
                <c:pt idx="166">
                  <c:v>21</c:v>
                </c:pt>
                <c:pt idx="167">
                  <c:v>9</c:v>
                </c:pt>
                <c:pt idx="168">
                  <c:v>1</c:v>
                </c:pt>
                <c:pt idx="169">
                  <c:v>5</c:v>
                </c:pt>
                <c:pt idx="170">
                  <c:v>5</c:v>
                </c:pt>
                <c:pt idx="171">
                  <c:v>6</c:v>
                </c:pt>
                <c:pt idx="172">
                  <c:v>3</c:v>
                </c:pt>
                <c:pt idx="173">
                  <c:v>3</c:v>
                </c:pt>
                <c:pt idx="174">
                  <c:v>2</c:v>
                </c:pt>
                <c:pt idx="175">
                  <c:v>1</c:v>
                </c:pt>
                <c:pt idx="176">
                  <c:v>4</c:v>
                </c:pt>
                <c:pt idx="178">
                  <c:v>1</c:v>
                </c:pt>
                <c:pt idx="179">
                  <c:v>1</c:v>
                </c:pt>
                <c:pt idx="184">
                  <c:v>3</c:v>
                </c:pt>
                <c:pt idx="185">
                  <c:v>6</c:v>
                </c:pt>
                <c:pt idx="186">
                  <c:v>3</c:v>
                </c:pt>
                <c:pt idx="188">
                  <c:v>3</c:v>
                </c:pt>
                <c:pt idx="190">
                  <c:v>1</c:v>
                </c:pt>
                <c:pt idx="198">
                  <c:v>1</c:v>
                </c:pt>
                <c:pt idx="202">
                  <c:v>1</c:v>
                </c:pt>
                <c:pt idx="204">
                  <c:v>1</c:v>
                </c:pt>
                <c:pt idx="211">
                  <c:v>1</c:v>
                </c:pt>
                <c:pt idx="214">
                  <c:v>1</c:v>
                </c:pt>
                <c:pt idx="218">
                  <c:v>2</c:v>
                </c:pt>
                <c:pt idx="221">
                  <c:v>2</c:v>
                </c:pt>
                <c:pt idx="226">
                  <c:v>4</c:v>
                </c:pt>
                <c:pt idx="227">
                  <c:v>2</c:v>
                </c:pt>
                <c:pt idx="228">
                  <c:v>4</c:v>
                </c:pt>
                <c:pt idx="230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1</c:v>
                </c:pt>
                <c:pt idx="241">
                  <c:v>1</c:v>
                </c:pt>
                <c:pt idx="242">
                  <c:v>3</c:v>
                </c:pt>
                <c:pt idx="243">
                  <c:v>1</c:v>
                </c:pt>
                <c:pt idx="244">
                  <c:v>2</c:v>
                </c:pt>
                <c:pt idx="247">
                  <c:v>1</c:v>
                </c:pt>
                <c:pt idx="248">
                  <c:v>14</c:v>
                </c:pt>
                <c:pt idx="249">
                  <c:v>10</c:v>
                </c:pt>
                <c:pt idx="250">
                  <c:v>19</c:v>
                </c:pt>
                <c:pt idx="251">
                  <c:v>14</c:v>
                </c:pt>
                <c:pt idx="252">
                  <c:v>10</c:v>
                </c:pt>
                <c:pt idx="253">
                  <c:v>14</c:v>
                </c:pt>
                <c:pt idx="254">
                  <c:v>15</c:v>
                </c:pt>
                <c:pt idx="255">
                  <c:v>17</c:v>
                </c:pt>
                <c:pt idx="256">
                  <c:v>1</c:v>
                </c:pt>
                <c:pt idx="257">
                  <c:v>2</c:v>
                </c:pt>
                <c:pt idx="264">
                  <c:v>2</c:v>
                </c:pt>
                <c:pt idx="271">
                  <c:v>1</c:v>
                </c:pt>
                <c:pt idx="272">
                  <c:v>2</c:v>
                </c:pt>
                <c:pt idx="273">
                  <c:v>1</c:v>
                </c:pt>
                <c:pt idx="274">
                  <c:v>3</c:v>
                </c:pt>
                <c:pt idx="275">
                  <c:v>1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8</c:v>
                </c:pt>
                <c:pt idx="281">
                  <c:v>14</c:v>
                </c:pt>
                <c:pt idx="282">
                  <c:v>14</c:v>
                </c:pt>
                <c:pt idx="283">
                  <c:v>11</c:v>
                </c:pt>
                <c:pt idx="284">
                  <c:v>18</c:v>
                </c:pt>
                <c:pt idx="285">
                  <c:v>21</c:v>
                </c:pt>
                <c:pt idx="286">
                  <c:v>9</c:v>
                </c:pt>
                <c:pt idx="287">
                  <c:v>19</c:v>
                </c:pt>
                <c:pt idx="288">
                  <c:v>13</c:v>
                </c:pt>
                <c:pt idx="289">
                  <c:v>15</c:v>
                </c:pt>
                <c:pt idx="290">
                  <c:v>41</c:v>
                </c:pt>
                <c:pt idx="291">
                  <c:v>15</c:v>
                </c:pt>
                <c:pt idx="292">
                  <c:v>13</c:v>
                </c:pt>
                <c:pt idx="293">
                  <c:v>17</c:v>
                </c:pt>
                <c:pt idx="294">
                  <c:v>8</c:v>
                </c:pt>
                <c:pt idx="295">
                  <c:v>9</c:v>
                </c:pt>
                <c:pt idx="296">
                  <c:v>18</c:v>
                </c:pt>
                <c:pt idx="297">
                  <c:v>19</c:v>
                </c:pt>
                <c:pt idx="298">
                  <c:v>17</c:v>
                </c:pt>
                <c:pt idx="299">
                  <c:v>7</c:v>
                </c:pt>
                <c:pt idx="300">
                  <c:v>20</c:v>
                </c:pt>
                <c:pt idx="301">
                  <c:v>14</c:v>
                </c:pt>
                <c:pt idx="302">
                  <c:v>22</c:v>
                </c:pt>
                <c:pt idx="303">
                  <c:v>22</c:v>
                </c:pt>
                <c:pt idx="304">
                  <c:v>28</c:v>
                </c:pt>
                <c:pt idx="305">
                  <c:v>26</c:v>
                </c:pt>
                <c:pt idx="306">
                  <c:v>37</c:v>
                </c:pt>
                <c:pt idx="307">
                  <c:v>39</c:v>
                </c:pt>
                <c:pt idx="308">
                  <c:v>47</c:v>
                </c:pt>
                <c:pt idx="309">
                  <c:v>55</c:v>
                </c:pt>
                <c:pt idx="310">
                  <c:v>61</c:v>
                </c:pt>
                <c:pt idx="311">
                  <c:v>78</c:v>
                </c:pt>
                <c:pt idx="312">
                  <c:v>95</c:v>
                </c:pt>
                <c:pt idx="313">
                  <c:v>114</c:v>
                </c:pt>
                <c:pt idx="314">
                  <c:v>114</c:v>
                </c:pt>
                <c:pt idx="315">
                  <c:v>230</c:v>
                </c:pt>
                <c:pt idx="316">
                  <c:v>404</c:v>
                </c:pt>
                <c:pt idx="317">
                  <c:v>461</c:v>
                </c:pt>
                <c:pt idx="318">
                  <c:v>361</c:v>
                </c:pt>
                <c:pt idx="319">
                  <c:v>423</c:v>
                </c:pt>
                <c:pt idx="320">
                  <c:v>458</c:v>
                </c:pt>
                <c:pt idx="321">
                  <c:v>504</c:v>
                </c:pt>
                <c:pt idx="322">
                  <c:v>614</c:v>
                </c:pt>
                <c:pt idx="323">
                  <c:v>951</c:v>
                </c:pt>
                <c:pt idx="324">
                  <c:v>1426</c:v>
                </c:pt>
                <c:pt idx="325">
                  <c:v>1476</c:v>
                </c:pt>
                <c:pt idx="326">
                  <c:v>1611</c:v>
                </c:pt>
                <c:pt idx="327">
                  <c:v>1854</c:v>
                </c:pt>
                <c:pt idx="328">
                  <c:v>2576</c:v>
                </c:pt>
                <c:pt idx="329">
                  <c:v>4245</c:v>
                </c:pt>
                <c:pt idx="330">
                  <c:v>3860</c:v>
                </c:pt>
                <c:pt idx="331">
                  <c:v>4370</c:v>
                </c:pt>
                <c:pt idx="332">
                  <c:v>4494</c:v>
                </c:pt>
                <c:pt idx="333">
                  <c:v>5006</c:v>
                </c:pt>
                <c:pt idx="334">
                  <c:v>3942</c:v>
                </c:pt>
                <c:pt idx="335">
                  <c:v>3281</c:v>
                </c:pt>
                <c:pt idx="336">
                  <c:v>3179</c:v>
                </c:pt>
                <c:pt idx="337">
                  <c:v>3738</c:v>
                </c:pt>
                <c:pt idx="338">
                  <c:v>4637</c:v>
                </c:pt>
                <c:pt idx="339">
                  <c:v>3938</c:v>
                </c:pt>
                <c:pt idx="340">
                  <c:v>3348</c:v>
                </c:pt>
                <c:pt idx="341">
                  <c:v>2654</c:v>
                </c:pt>
                <c:pt idx="342">
                  <c:v>2223</c:v>
                </c:pt>
                <c:pt idx="343">
                  <c:v>1651</c:v>
                </c:pt>
                <c:pt idx="344">
                  <c:v>1133</c:v>
                </c:pt>
                <c:pt idx="345">
                  <c:v>1026</c:v>
                </c:pt>
                <c:pt idx="346">
                  <c:v>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83-449C-B8A0-4CAED72097A2}"/>
            </c:ext>
          </c:extLst>
        </c:ser>
        <c:ser>
          <c:idx val="2"/>
          <c:order val="2"/>
          <c:tx>
            <c:strRef>
              <c:f>[1]画图1!$D$1</c:f>
              <c:strCache>
                <c:ptCount val="1"/>
                <c:pt idx="0">
                  <c:v>天津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[1]画图1!$D$2:$D$348</c:f>
              <c:numCache>
                <c:formatCode>General</c:formatCode>
                <c:ptCount val="347"/>
                <c:pt idx="7">
                  <c:v>3</c:v>
                </c:pt>
                <c:pt idx="8">
                  <c:v>23</c:v>
                </c:pt>
                <c:pt idx="9">
                  <c:v>21</c:v>
                </c:pt>
                <c:pt idx="10">
                  <c:v>36</c:v>
                </c:pt>
                <c:pt idx="11">
                  <c:v>46</c:v>
                </c:pt>
                <c:pt idx="12">
                  <c:v>35</c:v>
                </c:pt>
                <c:pt idx="13">
                  <c:v>39</c:v>
                </c:pt>
                <c:pt idx="14">
                  <c:v>33</c:v>
                </c:pt>
                <c:pt idx="15">
                  <c:v>80</c:v>
                </c:pt>
                <c:pt idx="16">
                  <c:v>18</c:v>
                </c:pt>
                <c:pt idx="17">
                  <c:v>14</c:v>
                </c:pt>
                <c:pt idx="18">
                  <c:v>14</c:v>
                </c:pt>
                <c:pt idx="19">
                  <c:v>8</c:v>
                </c:pt>
                <c:pt idx="20">
                  <c:v>6</c:v>
                </c:pt>
                <c:pt idx="21">
                  <c:v>5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4</c:v>
                </c:pt>
                <c:pt idx="27">
                  <c:v>5</c:v>
                </c:pt>
                <c:pt idx="28">
                  <c:v>4</c:v>
                </c:pt>
                <c:pt idx="29">
                  <c:v>11</c:v>
                </c:pt>
                <c:pt idx="30">
                  <c:v>7</c:v>
                </c:pt>
                <c:pt idx="31">
                  <c:v>12</c:v>
                </c:pt>
                <c:pt idx="32">
                  <c:v>9</c:v>
                </c:pt>
                <c:pt idx="33">
                  <c:v>4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4</c:v>
                </c:pt>
                <c:pt idx="57">
                  <c:v>10</c:v>
                </c:pt>
                <c:pt idx="58">
                  <c:v>6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3</c:v>
                </c:pt>
                <c:pt idx="63">
                  <c:v>0</c:v>
                </c:pt>
                <c:pt idx="64">
                  <c:v>0</c:v>
                </c:pt>
                <c:pt idx="65">
                  <c:v>3</c:v>
                </c:pt>
                <c:pt idx="66">
                  <c:v>12</c:v>
                </c:pt>
                <c:pt idx="67">
                  <c:v>21</c:v>
                </c:pt>
                <c:pt idx="68">
                  <c:v>18</c:v>
                </c:pt>
                <c:pt idx="69">
                  <c:v>41</c:v>
                </c:pt>
                <c:pt idx="70">
                  <c:v>26</c:v>
                </c:pt>
                <c:pt idx="71">
                  <c:v>50</c:v>
                </c:pt>
                <c:pt idx="72">
                  <c:v>47</c:v>
                </c:pt>
                <c:pt idx="73">
                  <c:v>64</c:v>
                </c:pt>
                <c:pt idx="74">
                  <c:v>50</c:v>
                </c:pt>
                <c:pt idx="75">
                  <c:v>58</c:v>
                </c:pt>
                <c:pt idx="76">
                  <c:v>25</c:v>
                </c:pt>
                <c:pt idx="77">
                  <c:v>17</c:v>
                </c:pt>
                <c:pt idx="78">
                  <c:v>19</c:v>
                </c:pt>
                <c:pt idx="79">
                  <c:v>36</c:v>
                </c:pt>
                <c:pt idx="80">
                  <c:v>47</c:v>
                </c:pt>
                <c:pt idx="81">
                  <c:v>76</c:v>
                </c:pt>
                <c:pt idx="82">
                  <c:v>64</c:v>
                </c:pt>
                <c:pt idx="83">
                  <c:v>55</c:v>
                </c:pt>
                <c:pt idx="84">
                  <c:v>40</c:v>
                </c:pt>
                <c:pt idx="85">
                  <c:v>14</c:v>
                </c:pt>
                <c:pt idx="86">
                  <c:v>13</c:v>
                </c:pt>
                <c:pt idx="87">
                  <c:v>7</c:v>
                </c:pt>
                <c:pt idx="88">
                  <c:v>4</c:v>
                </c:pt>
                <c:pt idx="89">
                  <c:v>3</c:v>
                </c:pt>
                <c:pt idx="90">
                  <c:v>0</c:v>
                </c:pt>
                <c:pt idx="91">
                  <c:v>4</c:v>
                </c:pt>
                <c:pt idx="92">
                  <c:v>2</c:v>
                </c:pt>
                <c:pt idx="93">
                  <c:v>5</c:v>
                </c:pt>
                <c:pt idx="94">
                  <c:v>6</c:v>
                </c:pt>
                <c:pt idx="95">
                  <c:v>4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2</c:v>
                </c:pt>
                <c:pt idx="102">
                  <c:v>0</c:v>
                </c:pt>
                <c:pt idx="103">
                  <c:v>2</c:v>
                </c:pt>
                <c:pt idx="113">
                  <c:v>1</c:v>
                </c:pt>
                <c:pt idx="114">
                  <c:v>2</c:v>
                </c:pt>
                <c:pt idx="119">
                  <c:v>1</c:v>
                </c:pt>
                <c:pt idx="131">
                  <c:v>1</c:v>
                </c:pt>
                <c:pt idx="132">
                  <c:v>2</c:v>
                </c:pt>
                <c:pt idx="133">
                  <c:v>0</c:v>
                </c:pt>
                <c:pt idx="134">
                  <c:v>4</c:v>
                </c:pt>
                <c:pt idx="135">
                  <c:v>30</c:v>
                </c:pt>
                <c:pt idx="136">
                  <c:v>45</c:v>
                </c:pt>
                <c:pt idx="137">
                  <c:v>29</c:v>
                </c:pt>
                <c:pt idx="138">
                  <c:v>15</c:v>
                </c:pt>
                <c:pt idx="139">
                  <c:v>23</c:v>
                </c:pt>
                <c:pt idx="140">
                  <c:v>44</c:v>
                </c:pt>
                <c:pt idx="141">
                  <c:v>27</c:v>
                </c:pt>
                <c:pt idx="142">
                  <c:v>18</c:v>
                </c:pt>
                <c:pt idx="143">
                  <c:v>17</c:v>
                </c:pt>
                <c:pt idx="144">
                  <c:v>18</c:v>
                </c:pt>
                <c:pt idx="145">
                  <c:v>9</c:v>
                </c:pt>
                <c:pt idx="146">
                  <c:v>7</c:v>
                </c:pt>
                <c:pt idx="147">
                  <c:v>11</c:v>
                </c:pt>
                <c:pt idx="148">
                  <c:v>6</c:v>
                </c:pt>
                <c:pt idx="149">
                  <c:v>5</c:v>
                </c:pt>
                <c:pt idx="150">
                  <c:v>0</c:v>
                </c:pt>
                <c:pt idx="151">
                  <c:v>5</c:v>
                </c:pt>
                <c:pt idx="152">
                  <c:v>3</c:v>
                </c:pt>
                <c:pt idx="177">
                  <c:v>4</c:v>
                </c:pt>
                <c:pt idx="178">
                  <c:v>9</c:v>
                </c:pt>
                <c:pt idx="180">
                  <c:v>2</c:v>
                </c:pt>
                <c:pt idx="185">
                  <c:v>5</c:v>
                </c:pt>
                <c:pt idx="186">
                  <c:v>4</c:v>
                </c:pt>
                <c:pt idx="188">
                  <c:v>1</c:v>
                </c:pt>
                <c:pt idx="189">
                  <c:v>1</c:v>
                </c:pt>
                <c:pt idx="198">
                  <c:v>11</c:v>
                </c:pt>
                <c:pt idx="199">
                  <c:v>14</c:v>
                </c:pt>
                <c:pt idx="200">
                  <c:v>14</c:v>
                </c:pt>
                <c:pt idx="201">
                  <c:v>10</c:v>
                </c:pt>
                <c:pt idx="202">
                  <c:v>9</c:v>
                </c:pt>
                <c:pt idx="203">
                  <c:v>3</c:v>
                </c:pt>
                <c:pt idx="204">
                  <c:v>4</c:v>
                </c:pt>
                <c:pt idx="205">
                  <c:v>2</c:v>
                </c:pt>
                <c:pt idx="206">
                  <c:v>1</c:v>
                </c:pt>
                <c:pt idx="207">
                  <c:v>3</c:v>
                </c:pt>
                <c:pt idx="208">
                  <c:v>2</c:v>
                </c:pt>
                <c:pt idx="209">
                  <c:v>2</c:v>
                </c:pt>
                <c:pt idx="210">
                  <c:v>7</c:v>
                </c:pt>
                <c:pt idx="211">
                  <c:v>1</c:v>
                </c:pt>
                <c:pt idx="212">
                  <c:v>4</c:v>
                </c:pt>
                <c:pt idx="215">
                  <c:v>1</c:v>
                </c:pt>
                <c:pt idx="216">
                  <c:v>1</c:v>
                </c:pt>
                <c:pt idx="219">
                  <c:v>1</c:v>
                </c:pt>
                <c:pt idx="235">
                  <c:v>2</c:v>
                </c:pt>
                <c:pt idx="236">
                  <c:v>1</c:v>
                </c:pt>
                <c:pt idx="237">
                  <c:v>2</c:v>
                </c:pt>
                <c:pt idx="238">
                  <c:v>7</c:v>
                </c:pt>
                <c:pt idx="239">
                  <c:v>31</c:v>
                </c:pt>
                <c:pt idx="240">
                  <c:v>51</c:v>
                </c:pt>
                <c:pt idx="241">
                  <c:v>57</c:v>
                </c:pt>
                <c:pt idx="242">
                  <c:v>34</c:v>
                </c:pt>
                <c:pt idx="243">
                  <c:v>33</c:v>
                </c:pt>
                <c:pt idx="244">
                  <c:v>21</c:v>
                </c:pt>
                <c:pt idx="245">
                  <c:v>41</c:v>
                </c:pt>
                <c:pt idx="246">
                  <c:v>14</c:v>
                </c:pt>
                <c:pt idx="247">
                  <c:v>12</c:v>
                </c:pt>
                <c:pt idx="248">
                  <c:v>7</c:v>
                </c:pt>
                <c:pt idx="249">
                  <c:v>3</c:v>
                </c:pt>
                <c:pt idx="250">
                  <c:v>5</c:v>
                </c:pt>
                <c:pt idx="251">
                  <c:v>7</c:v>
                </c:pt>
                <c:pt idx="252">
                  <c:v>6</c:v>
                </c:pt>
                <c:pt idx="253">
                  <c:v>4</c:v>
                </c:pt>
                <c:pt idx="254">
                  <c:v>2</c:v>
                </c:pt>
                <c:pt idx="255">
                  <c:v>4</c:v>
                </c:pt>
                <c:pt idx="256">
                  <c:v>11</c:v>
                </c:pt>
                <c:pt idx="257">
                  <c:v>36</c:v>
                </c:pt>
                <c:pt idx="258">
                  <c:v>45</c:v>
                </c:pt>
                <c:pt idx="259">
                  <c:v>28</c:v>
                </c:pt>
                <c:pt idx="260">
                  <c:v>26</c:v>
                </c:pt>
                <c:pt idx="261">
                  <c:v>18</c:v>
                </c:pt>
                <c:pt idx="262">
                  <c:v>11</c:v>
                </c:pt>
                <c:pt idx="263">
                  <c:v>11</c:v>
                </c:pt>
                <c:pt idx="264">
                  <c:v>11</c:v>
                </c:pt>
                <c:pt idx="265">
                  <c:v>6</c:v>
                </c:pt>
                <c:pt idx="266">
                  <c:v>12</c:v>
                </c:pt>
                <c:pt idx="267">
                  <c:v>19</c:v>
                </c:pt>
                <c:pt idx="268">
                  <c:v>42</c:v>
                </c:pt>
                <c:pt idx="269">
                  <c:v>55</c:v>
                </c:pt>
                <c:pt idx="270">
                  <c:v>39</c:v>
                </c:pt>
                <c:pt idx="271">
                  <c:v>72</c:v>
                </c:pt>
                <c:pt idx="272">
                  <c:v>27</c:v>
                </c:pt>
                <c:pt idx="273">
                  <c:v>29</c:v>
                </c:pt>
                <c:pt idx="274">
                  <c:v>21</c:v>
                </c:pt>
                <c:pt idx="275">
                  <c:v>19</c:v>
                </c:pt>
                <c:pt idx="276">
                  <c:v>59</c:v>
                </c:pt>
                <c:pt idx="277">
                  <c:v>60</c:v>
                </c:pt>
                <c:pt idx="278">
                  <c:v>15</c:v>
                </c:pt>
                <c:pt idx="279">
                  <c:v>8</c:v>
                </c:pt>
                <c:pt idx="280">
                  <c:v>4</c:v>
                </c:pt>
                <c:pt idx="282">
                  <c:v>7</c:v>
                </c:pt>
                <c:pt idx="283">
                  <c:v>4</c:v>
                </c:pt>
                <c:pt idx="284">
                  <c:v>1</c:v>
                </c:pt>
                <c:pt idx="285">
                  <c:v>7</c:v>
                </c:pt>
                <c:pt idx="286">
                  <c:v>7</c:v>
                </c:pt>
                <c:pt idx="287">
                  <c:v>9</c:v>
                </c:pt>
                <c:pt idx="288">
                  <c:v>16</c:v>
                </c:pt>
                <c:pt idx="289">
                  <c:v>8</c:v>
                </c:pt>
                <c:pt idx="290">
                  <c:v>9</c:v>
                </c:pt>
                <c:pt idx="291">
                  <c:v>30</c:v>
                </c:pt>
                <c:pt idx="292">
                  <c:v>59</c:v>
                </c:pt>
                <c:pt idx="293">
                  <c:v>56</c:v>
                </c:pt>
                <c:pt idx="294">
                  <c:v>54</c:v>
                </c:pt>
                <c:pt idx="295">
                  <c:v>41</c:v>
                </c:pt>
                <c:pt idx="296">
                  <c:v>39</c:v>
                </c:pt>
                <c:pt idx="297">
                  <c:v>20</c:v>
                </c:pt>
                <c:pt idx="298">
                  <c:v>7</c:v>
                </c:pt>
                <c:pt idx="299">
                  <c:v>7</c:v>
                </c:pt>
                <c:pt idx="300">
                  <c:v>20</c:v>
                </c:pt>
                <c:pt idx="301">
                  <c:v>24</c:v>
                </c:pt>
                <c:pt idx="302">
                  <c:v>33</c:v>
                </c:pt>
                <c:pt idx="303">
                  <c:v>26</c:v>
                </c:pt>
                <c:pt idx="304">
                  <c:v>17</c:v>
                </c:pt>
                <c:pt idx="305">
                  <c:v>11</c:v>
                </c:pt>
                <c:pt idx="306">
                  <c:v>6</c:v>
                </c:pt>
                <c:pt idx="307">
                  <c:v>9</c:v>
                </c:pt>
                <c:pt idx="308">
                  <c:v>11</c:v>
                </c:pt>
                <c:pt idx="309">
                  <c:v>13</c:v>
                </c:pt>
                <c:pt idx="310">
                  <c:v>30</c:v>
                </c:pt>
                <c:pt idx="311">
                  <c:v>27</c:v>
                </c:pt>
                <c:pt idx="312">
                  <c:v>39</c:v>
                </c:pt>
                <c:pt idx="313">
                  <c:v>37</c:v>
                </c:pt>
                <c:pt idx="314">
                  <c:v>57</c:v>
                </c:pt>
                <c:pt idx="315">
                  <c:v>60</c:v>
                </c:pt>
                <c:pt idx="316">
                  <c:v>81</c:v>
                </c:pt>
                <c:pt idx="317">
                  <c:v>76</c:v>
                </c:pt>
                <c:pt idx="318">
                  <c:v>80</c:v>
                </c:pt>
                <c:pt idx="319">
                  <c:v>73</c:v>
                </c:pt>
                <c:pt idx="320">
                  <c:v>97</c:v>
                </c:pt>
                <c:pt idx="321">
                  <c:v>76</c:v>
                </c:pt>
                <c:pt idx="322">
                  <c:v>125</c:v>
                </c:pt>
                <c:pt idx="323">
                  <c:v>198</c:v>
                </c:pt>
                <c:pt idx="324">
                  <c:v>265</c:v>
                </c:pt>
                <c:pt idx="325">
                  <c:v>245</c:v>
                </c:pt>
                <c:pt idx="326">
                  <c:v>457</c:v>
                </c:pt>
                <c:pt idx="327">
                  <c:v>421</c:v>
                </c:pt>
                <c:pt idx="328">
                  <c:v>584</c:v>
                </c:pt>
                <c:pt idx="329">
                  <c:v>570</c:v>
                </c:pt>
                <c:pt idx="330">
                  <c:v>695</c:v>
                </c:pt>
                <c:pt idx="331">
                  <c:v>794</c:v>
                </c:pt>
                <c:pt idx="332">
                  <c:v>870</c:v>
                </c:pt>
                <c:pt idx="333">
                  <c:v>721</c:v>
                </c:pt>
                <c:pt idx="334">
                  <c:v>690</c:v>
                </c:pt>
                <c:pt idx="335">
                  <c:v>567</c:v>
                </c:pt>
                <c:pt idx="336">
                  <c:v>537</c:v>
                </c:pt>
                <c:pt idx="337">
                  <c:v>497</c:v>
                </c:pt>
                <c:pt idx="338">
                  <c:v>451</c:v>
                </c:pt>
                <c:pt idx="339">
                  <c:v>411</c:v>
                </c:pt>
                <c:pt idx="340">
                  <c:v>365</c:v>
                </c:pt>
                <c:pt idx="341">
                  <c:v>329</c:v>
                </c:pt>
                <c:pt idx="342">
                  <c:v>291</c:v>
                </c:pt>
                <c:pt idx="343">
                  <c:v>279</c:v>
                </c:pt>
                <c:pt idx="344">
                  <c:v>254</c:v>
                </c:pt>
                <c:pt idx="345">
                  <c:v>216</c:v>
                </c:pt>
                <c:pt idx="3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83-449C-B8A0-4CAED72097A2}"/>
            </c:ext>
          </c:extLst>
        </c:ser>
        <c:ser>
          <c:idx val="3"/>
          <c:order val="3"/>
          <c:tx>
            <c:strRef>
              <c:f>[1]画图1!$E$1</c:f>
              <c:strCache>
                <c:ptCount val="1"/>
                <c:pt idx="0">
                  <c:v>上海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[1]画图1!$E$2:$E$348</c:f>
              <c:numCache>
                <c:formatCode>General</c:formatCode>
                <c:ptCount val="347"/>
                <c:pt idx="50">
                  <c:v>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3</c:v>
                </c:pt>
                <c:pt idx="182">
                  <c:v>2</c:v>
                </c:pt>
                <c:pt idx="183">
                  <c:v>3</c:v>
                </c:pt>
                <c:pt idx="184">
                  <c:v>8</c:v>
                </c:pt>
                <c:pt idx="185">
                  <c:v>24</c:v>
                </c:pt>
                <c:pt idx="186">
                  <c:v>54</c:v>
                </c:pt>
                <c:pt idx="187">
                  <c:v>45</c:v>
                </c:pt>
                <c:pt idx="188">
                  <c:v>59</c:v>
                </c:pt>
                <c:pt idx="189">
                  <c:v>57</c:v>
                </c:pt>
                <c:pt idx="190">
                  <c:v>69</c:v>
                </c:pt>
                <c:pt idx="191">
                  <c:v>59</c:v>
                </c:pt>
                <c:pt idx="192">
                  <c:v>55</c:v>
                </c:pt>
                <c:pt idx="193">
                  <c:v>47</c:v>
                </c:pt>
                <c:pt idx="194">
                  <c:v>45</c:v>
                </c:pt>
                <c:pt idx="195">
                  <c:v>33</c:v>
                </c:pt>
                <c:pt idx="196">
                  <c:v>26</c:v>
                </c:pt>
                <c:pt idx="197">
                  <c:v>17</c:v>
                </c:pt>
                <c:pt idx="198">
                  <c:v>23</c:v>
                </c:pt>
                <c:pt idx="199">
                  <c:v>15</c:v>
                </c:pt>
                <c:pt idx="200">
                  <c:v>17</c:v>
                </c:pt>
                <c:pt idx="201">
                  <c:v>18</c:v>
                </c:pt>
                <c:pt idx="202">
                  <c:v>18</c:v>
                </c:pt>
                <c:pt idx="203">
                  <c:v>24</c:v>
                </c:pt>
                <c:pt idx="204">
                  <c:v>18</c:v>
                </c:pt>
                <c:pt idx="205">
                  <c:v>19</c:v>
                </c:pt>
                <c:pt idx="206">
                  <c:v>16</c:v>
                </c:pt>
                <c:pt idx="207">
                  <c:v>14</c:v>
                </c:pt>
                <c:pt idx="208">
                  <c:v>7</c:v>
                </c:pt>
                <c:pt idx="209">
                  <c:v>5</c:v>
                </c:pt>
                <c:pt idx="210">
                  <c:v>6</c:v>
                </c:pt>
                <c:pt idx="214">
                  <c:v>2</c:v>
                </c:pt>
                <c:pt idx="222">
                  <c:v>7</c:v>
                </c:pt>
                <c:pt idx="223">
                  <c:v>4</c:v>
                </c:pt>
                <c:pt idx="224">
                  <c:v>5</c:v>
                </c:pt>
                <c:pt idx="225">
                  <c:v>6</c:v>
                </c:pt>
                <c:pt idx="226">
                  <c:v>3</c:v>
                </c:pt>
                <c:pt idx="227">
                  <c:v>4</c:v>
                </c:pt>
                <c:pt idx="228">
                  <c:v>4</c:v>
                </c:pt>
                <c:pt idx="229">
                  <c:v>3</c:v>
                </c:pt>
                <c:pt idx="230">
                  <c:v>3</c:v>
                </c:pt>
                <c:pt idx="231">
                  <c:v>2</c:v>
                </c:pt>
                <c:pt idx="232">
                  <c:v>4</c:v>
                </c:pt>
                <c:pt idx="233">
                  <c:v>4</c:v>
                </c:pt>
                <c:pt idx="235">
                  <c:v>6</c:v>
                </c:pt>
                <c:pt idx="236">
                  <c:v>2</c:v>
                </c:pt>
                <c:pt idx="237">
                  <c:v>8</c:v>
                </c:pt>
                <c:pt idx="238">
                  <c:v>8</c:v>
                </c:pt>
                <c:pt idx="241">
                  <c:v>2</c:v>
                </c:pt>
                <c:pt idx="243">
                  <c:v>1</c:v>
                </c:pt>
                <c:pt idx="244">
                  <c:v>3</c:v>
                </c:pt>
                <c:pt idx="245">
                  <c:v>1</c:v>
                </c:pt>
                <c:pt idx="248">
                  <c:v>1</c:v>
                </c:pt>
                <c:pt idx="249">
                  <c:v>13</c:v>
                </c:pt>
                <c:pt idx="250">
                  <c:v>2</c:v>
                </c:pt>
                <c:pt idx="251">
                  <c:v>5</c:v>
                </c:pt>
                <c:pt idx="252">
                  <c:v>8</c:v>
                </c:pt>
                <c:pt idx="253">
                  <c:v>3</c:v>
                </c:pt>
                <c:pt idx="255">
                  <c:v>1</c:v>
                </c:pt>
                <c:pt idx="257">
                  <c:v>3</c:v>
                </c:pt>
                <c:pt idx="258">
                  <c:v>1</c:v>
                </c:pt>
                <c:pt idx="260">
                  <c:v>3</c:v>
                </c:pt>
                <c:pt idx="261">
                  <c:v>1</c:v>
                </c:pt>
                <c:pt idx="264">
                  <c:v>1</c:v>
                </c:pt>
                <c:pt idx="270">
                  <c:v>1</c:v>
                </c:pt>
                <c:pt idx="271">
                  <c:v>6</c:v>
                </c:pt>
                <c:pt idx="272">
                  <c:v>3</c:v>
                </c:pt>
                <c:pt idx="273">
                  <c:v>5</c:v>
                </c:pt>
                <c:pt idx="274">
                  <c:v>4</c:v>
                </c:pt>
                <c:pt idx="275">
                  <c:v>3</c:v>
                </c:pt>
                <c:pt idx="276">
                  <c:v>6</c:v>
                </c:pt>
                <c:pt idx="277">
                  <c:v>11</c:v>
                </c:pt>
                <c:pt idx="278">
                  <c:v>18</c:v>
                </c:pt>
                <c:pt idx="279">
                  <c:v>23</c:v>
                </c:pt>
                <c:pt idx="280">
                  <c:v>21</c:v>
                </c:pt>
                <c:pt idx="281">
                  <c:v>34</c:v>
                </c:pt>
                <c:pt idx="282">
                  <c:v>28</c:v>
                </c:pt>
                <c:pt idx="283">
                  <c:v>38</c:v>
                </c:pt>
                <c:pt idx="284">
                  <c:v>47</c:v>
                </c:pt>
                <c:pt idx="285">
                  <c:v>49</c:v>
                </c:pt>
                <c:pt idx="286">
                  <c:v>42</c:v>
                </c:pt>
                <c:pt idx="287">
                  <c:v>28</c:v>
                </c:pt>
                <c:pt idx="288">
                  <c:v>32</c:v>
                </c:pt>
                <c:pt idx="289">
                  <c:v>15</c:v>
                </c:pt>
                <c:pt idx="290">
                  <c:v>15</c:v>
                </c:pt>
                <c:pt idx="291">
                  <c:v>10</c:v>
                </c:pt>
                <c:pt idx="292">
                  <c:v>13</c:v>
                </c:pt>
                <c:pt idx="293">
                  <c:v>16</c:v>
                </c:pt>
                <c:pt idx="294">
                  <c:v>12</c:v>
                </c:pt>
                <c:pt idx="295">
                  <c:v>12</c:v>
                </c:pt>
                <c:pt idx="296">
                  <c:v>19</c:v>
                </c:pt>
                <c:pt idx="297">
                  <c:v>19</c:v>
                </c:pt>
                <c:pt idx="298">
                  <c:v>9</c:v>
                </c:pt>
                <c:pt idx="299">
                  <c:v>11</c:v>
                </c:pt>
                <c:pt idx="300">
                  <c:v>9</c:v>
                </c:pt>
                <c:pt idx="301">
                  <c:v>9</c:v>
                </c:pt>
                <c:pt idx="302">
                  <c:v>10</c:v>
                </c:pt>
                <c:pt idx="303">
                  <c:v>4</c:v>
                </c:pt>
                <c:pt idx="304">
                  <c:v>1</c:v>
                </c:pt>
                <c:pt idx="305">
                  <c:v>3</c:v>
                </c:pt>
                <c:pt idx="306">
                  <c:v>7</c:v>
                </c:pt>
                <c:pt idx="307">
                  <c:v>5</c:v>
                </c:pt>
                <c:pt idx="308">
                  <c:v>5</c:v>
                </c:pt>
                <c:pt idx="309">
                  <c:v>2</c:v>
                </c:pt>
                <c:pt idx="310">
                  <c:v>3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9</c:v>
                </c:pt>
                <c:pt idx="315">
                  <c:v>10</c:v>
                </c:pt>
                <c:pt idx="316">
                  <c:v>15</c:v>
                </c:pt>
                <c:pt idx="317">
                  <c:v>16</c:v>
                </c:pt>
                <c:pt idx="318">
                  <c:v>16</c:v>
                </c:pt>
                <c:pt idx="319">
                  <c:v>13</c:v>
                </c:pt>
                <c:pt idx="320">
                  <c:v>29</c:v>
                </c:pt>
                <c:pt idx="321">
                  <c:v>28</c:v>
                </c:pt>
                <c:pt idx="322">
                  <c:v>39</c:v>
                </c:pt>
                <c:pt idx="323">
                  <c:v>39</c:v>
                </c:pt>
                <c:pt idx="324">
                  <c:v>48</c:v>
                </c:pt>
                <c:pt idx="325">
                  <c:v>68</c:v>
                </c:pt>
                <c:pt idx="326">
                  <c:v>67</c:v>
                </c:pt>
                <c:pt idx="327">
                  <c:v>86</c:v>
                </c:pt>
                <c:pt idx="328">
                  <c:v>89</c:v>
                </c:pt>
                <c:pt idx="329">
                  <c:v>130</c:v>
                </c:pt>
                <c:pt idx="330">
                  <c:v>144</c:v>
                </c:pt>
                <c:pt idx="331">
                  <c:v>178</c:v>
                </c:pt>
                <c:pt idx="332">
                  <c:v>187</c:v>
                </c:pt>
                <c:pt idx="333">
                  <c:v>197</c:v>
                </c:pt>
                <c:pt idx="334">
                  <c:v>235</c:v>
                </c:pt>
                <c:pt idx="335">
                  <c:v>291</c:v>
                </c:pt>
                <c:pt idx="336">
                  <c:v>486</c:v>
                </c:pt>
                <c:pt idx="337">
                  <c:v>565</c:v>
                </c:pt>
                <c:pt idx="338">
                  <c:v>577</c:v>
                </c:pt>
                <c:pt idx="339">
                  <c:v>478</c:v>
                </c:pt>
                <c:pt idx="340">
                  <c:v>366</c:v>
                </c:pt>
                <c:pt idx="341">
                  <c:v>331</c:v>
                </c:pt>
                <c:pt idx="342">
                  <c:v>272</c:v>
                </c:pt>
                <c:pt idx="343">
                  <c:v>201</c:v>
                </c:pt>
                <c:pt idx="344">
                  <c:v>131</c:v>
                </c:pt>
                <c:pt idx="345">
                  <c:v>129</c:v>
                </c:pt>
                <c:pt idx="34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83-449C-B8A0-4CAED72097A2}"/>
            </c:ext>
          </c:extLst>
        </c:ser>
        <c:ser>
          <c:idx val="4"/>
          <c:order val="4"/>
          <c:tx>
            <c:strRef>
              <c:f>[1]画图1!$F$1</c:f>
              <c:strCache>
                <c:ptCount val="1"/>
                <c:pt idx="0">
                  <c:v>重庆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[1]画图1!$F$2:$F$348</c:f>
              <c:numCache>
                <c:formatCode>General</c:formatCode>
                <c:ptCount val="347"/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</c:v>
                </c:pt>
                <c:pt idx="71">
                  <c:v>7</c:v>
                </c:pt>
                <c:pt idx="72">
                  <c:v>12</c:v>
                </c:pt>
                <c:pt idx="73">
                  <c:v>12</c:v>
                </c:pt>
                <c:pt idx="74">
                  <c:v>5</c:v>
                </c:pt>
                <c:pt idx="75">
                  <c:v>16</c:v>
                </c:pt>
                <c:pt idx="76">
                  <c:v>3</c:v>
                </c:pt>
                <c:pt idx="77">
                  <c:v>7</c:v>
                </c:pt>
                <c:pt idx="78">
                  <c:v>2</c:v>
                </c:pt>
                <c:pt idx="79">
                  <c:v>3</c:v>
                </c:pt>
                <c:pt idx="80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2</c:v>
                </c:pt>
                <c:pt idx="90">
                  <c:v>2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7">
                  <c:v>1</c:v>
                </c:pt>
                <c:pt idx="102">
                  <c:v>1</c:v>
                </c:pt>
                <c:pt idx="103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2</c:v>
                </c:pt>
                <c:pt idx="119">
                  <c:v>1</c:v>
                </c:pt>
                <c:pt idx="121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3</c:v>
                </c:pt>
                <c:pt idx="128">
                  <c:v>1</c:v>
                </c:pt>
                <c:pt idx="129">
                  <c:v>1</c:v>
                </c:pt>
                <c:pt idx="131">
                  <c:v>3</c:v>
                </c:pt>
                <c:pt idx="132">
                  <c:v>1</c:v>
                </c:pt>
                <c:pt idx="133">
                  <c:v>3</c:v>
                </c:pt>
                <c:pt idx="161">
                  <c:v>1</c:v>
                </c:pt>
                <c:pt idx="162">
                  <c:v>3</c:v>
                </c:pt>
                <c:pt idx="164">
                  <c:v>1</c:v>
                </c:pt>
                <c:pt idx="193">
                  <c:v>1</c:v>
                </c:pt>
                <c:pt idx="195">
                  <c:v>1</c:v>
                </c:pt>
                <c:pt idx="198">
                  <c:v>1</c:v>
                </c:pt>
                <c:pt idx="200">
                  <c:v>2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1</c:v>
                </c:pt>
                <c:pt idx="205">
                  <c:v>3</c:v>
                </c:pt>
                <c:pt idx="206">
                  <c:v>1</c:v>
                </c:pt>
                <c:pt idx="214">
                  <c:v>2</c:v>
                </c:pt>
                <c:pt idx="215">
                  <c:v>12</c:v>
                </c:pt>
                <c:pt idx="216">
                  <c:v>5</c:v>
                </c:pt>
                <c:pt idx="217">
                  <c:v>7</c:v>
                </c:pt>
                <c:pt idx="218">
                  <c:v>4</c:v>
                </c:pt>
                <c:pt idx="219">
                  <c:v>4</c:v>
                </c:pt>
                <c:pt idx="220">
                  <c:v>3</c:v>
                </c:pt>
                <c:pt idx="221">
                  <c:v>4</c:v>
                </c:pt>
                <c:pt idx="222">
                  <c:v>2</c:v>
                </c:pt>
                <c:pt idx="223">
                  <c:v>6</c:v>
                </c:pt>
                <c:pt idx="224">
                  <c:v>3</c:v>
                </c:pt>
                <c:pt idx="225">
                  <c:v>3</c:v>
                </c:pt>
                <c:pt idx="226">
                  <c:v>1</c:v>
                </c:pt>
                <c:pt idx="227">
                  <c:v>3</c:v>
                </c:pt>
                <c:pt idx="228">
                  <c:v>4</c:v>
                </c:pt>
                <c:pt idx="229">
                  <c:v>11</c:v>
                </c:pt>
                <c:pt idx="230">
                  <c:v>18</c:v>
                </c:pt>
                <c:pt idx="231">
                  <c:v>12</c:v>
                </c:pt>
                <c:pt idx="232">
                  <c:v>21</c:v>
                </c:pt>
                <c:pt idx="233">
                  <c:v>31</c:v>
                </c:pt>
                <c:pt idx="234">
                  <c:v>40</c:v>
                </c:pt>
                <c:pt idx="235">
                  <c:v>43</c:v>
                </c:pt>
                <c:pt idx="236">
                  <c:v>18</c:v>
                </c:pt>
                <c:pt idx="237">
                  <c:v>32</c:v>
                </c:pt>
                <c:pt idx="238">
                  <c:v>16</c:v>
                </c:pt>
                <c:pt idx="239">
                  <c:v>27</c:v>
                </c:pt>
                <c:pt idx="240">
                  <c:v>23</c:v>
                </c:pt>
                <c:pt idx="241">
                  <c:v>12</c:v>
                </c:pt>
                <c:pt idx="242">
                  <c:v>15</c:v>
                </c:pt>
                <c:pt idx="243">
                  <c:v>10</c:v>
                </c:pt>
                <c:pt idx="244">
                  <c:v>5</c:v>
                </c:pt>
                <c:pt idx="245">
                  <c:v>2</c:v>
                </c:pt>
                <c:pt idx="247">
                  <c:v>2</c:v>
                </c:pt>
                <c:pt idx="248">
                  <c:v>1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1</c:v>
                </c:pt>
                <c:pt idx="256">
                  <c:v>2</c:v>
                </c:pt>
                <c:pt idx="257">
                  <c:v>4</c:v>
                </c:pt>
                <c:pt idx="258">
                  <c:v>4</c:v>
                </c:pt>
                <c:pt idx="259">
                  <c:v>2</c:v>
                </c:pt>
                <c:pt idx="260">
                  <c:v>1</c:v>
                </c:pt>
                <c:pt idx="261">
                  <c:v>1</c:v>
                </c:pt>
                <c:pt idx="263">
                  <c:v>5</c:v>
                </c:pt>
                <c:pt idx="264">
                  <c:v>1</c:v>
                </c:pt>
                <c:pt idx="266">
                  <c:v>2</c:v>
                </c:pt>
                <c:pt idx="267">
                  <c:v>2</c:v>
                </c:pt>
                <c:pt idx="268">
                  <c:v>1</c:v>
                </c:pt>
                <c:pt idx="269">
                  <c:v>1</c:v>
                </c:pt>
                <c:pt idx="271">
                  <c:v>1</c:v>
                </c:pt>
                <c:pt idx="272">
                  <c:v>3</c:v>
                </c:pt>
                <c:pt idx="273">
                  <c:v>1</c:v>
                </c:pt>
                <c:pt idx="274">
                  <c:v>4</c:v>
                </c:pt>
                <c:pt idx="275">
                  <c:v>6</c:v>
                </c:pt>
                <c:pt idx="276">
                  <c:v>24</c:v>
                </c:pt>
                <c:pt idx="277">
                  <c:v>36</c:v>
                </c:pt>
                <c:pt idx="278">
                  <c:v>49</c:v>
                </c:pt>
                <c:pt idx="279">
                  <c:v>36</c:v>
                </c:pt>
                <c:pt idx="280">
                  <c:v>19</c:v>
                </c:pt>
                <c:pt idx="281">
                  <c:v>25</c:v>
                </c:pt>
                <c:pt idx="282">
                  <c:v>45</c:v>
                </c:pt>
                <c:pt idx="283">
                  <c:v>42</c:v>
                </c:pt>
                <c:pt idx="284">
                  <c:v>28</c:v>
                </c:pt>
                <c:pt idx="285">
                  <c:v>22</c:v>
                </c:pt>
                <c:pt idx="286">
                  <c:v>29</c:v>
                </c:pt>
                <c:pt idx="287">
                  <c:v>11</c:v>
                </c:pt>
                <c:pt idx="288">
                  <c:v>14</c:v>
                </c:pt>
                <c:pt idx="289">
                  <c:v>10</c:v>
                </c:pt>
                <c:pt idx="290">
                  <c:v>25</c:v>
                </c:pt>
                <c:pt idx="291">
                  <c:v>23</c:v>
                </c:pt>
                <c:pt idx="292">
                  <c:v>7</c:v>
                </c:pt>
                <c:pt idx="293">
                  <c:v>7</c:v>
                </c:pt>
                <c:pt idx="294">
                  <c:v>2</c:v>
                </c:pt>
                <c:pt idx="295">
                  <c:v>9</c:v>
                </c:pt>
                <c:pt idx="296">
                  <c:v>13</c:v>
                </c:pt>
                <c:pt idx="297">
                  <c:v>19</c:v>
                </c:pt>
                <c:pt idx="298">
                  <c:v>35</c:v>
                </c:pt>
                <c:pt idx="299">
                  <c:v>29</c:v>
                </c:pt>
                <c:pt idx="300">
                  <c:v>38</c:v>
                </c:pt>
                <c:pt idx="301">
                  <c:v>21</c:v>
                </c:pt>
                <c:pt idx="302">
                  <c:v>29</c:v>
                </c:pt>
                <c:pt idx="303">
                  <c:v>10</c:v>
                </c:pt>
                <c:pt idx="304">
                  <c:v>9</c:v>
                </c:pt>
                <c:pt idx="305">
                  <c:v>15</c:v>
                </c:pt>
                <c:pt idx="306">
                  <c:v>77</c:v>
                </c:pt>
                <c:pt idx="307">
                  <c:v>78</c:v>
                </c:pt>
                <c:pt idx="308">
                  <c:v>99</c:v>
                </c:pt>
                <c:pt idx="309">
                  <c:v>126</c:v>
                </c:pt>
                <c:pt idx="310">
                  <c:v>278</c:v>
                </c:pt>
                <c:pt idx="311">
                  <c:v>488</c:v>
                </c:pt>
                <c:pt idx="312">
                  <c:v>753</c:v>
                </c:pt>
                <c:pt idx="313">
                  <c:v>782</c:v>
                </c:pt>
                <c:pt idx="314">
                  <c:v>1240</c:v>
                </c:pt>
                <c:pt idx="315">
                  <c:v>1817</c:v>
                </c:pt>
                <c:pt idx="316">
                  <c:v>2296</c:v>
                </c:pt>
                <c:pt idx="317">
                  <c:v>2948</c:v>
                </c:pt>
                <c:pt idx="318">
                  <c:v>2798</c:v>
                </c:pt>
                <c:pt idx="319">
                  <c:v>4041</c:v>
                </c:pt>
                <c:pt idx="320">
                  <c:v>4631</c:v>
                </c:pt>
                <c:pt idx="321">
                  <c:v>4713</c:v>
                </c:pt>
                <c:pt idx="322">
                  <c:v>4683</c:v>
                </c:pt>
                <c:pt idx="323">
                  <c:v>6073</c:v>
                </c:pt>
                <c:pt idx="324">
                  <c:v>6297</c:v>
                </c:pt>
                <c:pt idx="325">
                  <c:v>6866</c:v>
                </c:pt>
                <c:pt idx="326">
                  <c:v>7548</c:v>
                </c:pt>
                <c:pt idx="327">
                  <c:v>6378</c:v>
                </c:pt>
                <c:pt idx="328">
                  <c:v>7659</c:v>
                </c:pt>
                <c:pt idx="329">
                  <c:v>8809</c:v>
                </c:pt>
                <c:pt idx="330">
                  <c:v>9612</c:v>
                </c:pt>
                <c:pt idx="331">
                  <c:v>8721</c:v>
                </c:pt>
                <c:pt idx="332">
                  <c:v>7792</c:v>
                </c:pt>
                <c:pt idx="333">
                  <c:v>6584</c:v>
                </c:pt>
                <c:pt idx="334">
                  <c:v>6472</c:v>
                </c:pt>
                <c:pt idx="335">
                  <c:v>5798</c:v>
                </c:pt>
                <c:pt idx="336">
                  <c:v>5245</c:v>
                </c:pt>
                <c:pt idx="337">
                  <c:v>4774</c:v>
                </c:pt>
                <c:pt idx="338">
                  <c:v>4084</c:v>
                </c:pt>
                <c:pt idx="339">
                  <c:v>3709</c:v>
                </c:pt>
                <c:pt idx="340">
                  <c:v>3130</c:v>
                </c:pt>
                <c:pt idx="341">
                  <c:v>2752</c:v>
                </c:pt>
                <c:pt idx="342">
                  <c:v>2359</c:v>
                </c:pt>
                <c:pt idx="343">
                  <c:v>1983</c:v>
                </c:pt>
                <c:pt idx="344">
                  <c:v>1837</c:v>
                </c:pt>
                <c:pt idx="345">
                  <c:v>1552</c:v>
                </c:pt>
                <c:pt idx="346">
                  <c:v>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83-449C-B8A0-4CAED72097A2}"/>
            </c:ext>
          </c:extLst>
        </c:ser>
        <c:ser>
          <c:idx val="5"/>
          <c:order val="5"/>
          <c:tx>
            <c:strRef>
              <c:f>[1]画图1!$G$1</c:f>
              <c:strCache>
                <c:ptCount val="1"/>
                <c:pt idx="0">
                  <c:v>安徽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[1]画图1!$G$2:$G$348</c:f>
              <c:numCache>
                <c:formatCode>General</c:formatCode>
                <c:ptCount val="347"/>
                <c:pt idx="66">
                  <c:v>1</c:v>
                </c:pt>
                <c:pt idx="67">
                  <c:v>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12</c:v>
                </c:pt>
                <c:pt idx="73">
                  <c:v>7</c:v>
                </c:pt>
                <c:pt idx="74">
                  <c:v>11</c:v>
                </c:pt>
                <c:pt idx="75">
                  <c:v>4</c:v>
                </c:pt>
                <c:pt idx="76">
                  <c:v>15</c:v>
                </c:pt>
                <c:pt idx="77">
                  <c:v>16</c:v>
                </c:pt>
                <c:pt idx="78">
                  <c:v>10</c:v>
                </c:pt>
                <c:pt idx="79">
                  <c:v>12</c:v>
                </c:pt>
                <c:pt idx="80">
                  <c:v>11</c:v>
                </c:pt>
                <c:pt idx="81">
                  <c:v>8</c:v>
                </c:pt>
                <c:pt idx="82">
                  <c:v>25</c:v>
                </c:pt>
                <c:pt idx="83">
                  <c:v>16</c:v>
                </c:pt>
                <c:pt idx="84">
                  <c:v>18</c:v>
                </c:pt>
                <c:pt idx="85">
                  <c:v>38</c:v>
                </c:pt>
                <c:pt idx="86">
                  <c:v>18</c:v>
                </c:pt>
                <c:pt idx="87">
                  <c:v>34</c:v>
                </c:pt>
                <c:pt idx="88">
                  <c:v>67</c:v>
                </c:pt>
                <c:pt idx="89">
                  <c:v>50</c:v>
                </c:pt>
                <c:pt idx="90">
                  <c:v>56</c:v>
                </c:pt>
                <c:pt idx="91">
                  <c:v>95</c:v>
                </c:pt>
                <c:pt idx="92">
                  <c:v>70</c:v>
                </c:pt>
                <c:pt idx="93">
                  <c:v>49</c:v>
                </c:pt>
                <c:pt idx="94">
                  <c:v>56</c:v>
                </c:pt>
                <c:pt idx="95">
                  <c:v>60</c:v>
                </c:pt>
                <c:pt idx="96">
                  <c:v>69</c:v>
                </c:pt>
                <c:pt idx="97">
                  <c:v>70</c:v>
                </c:pt>
                <c:pt idx="98">
                  <c:v>44</c:v>
                </c:pt>
                <c:pt idx="99">
                  <c:v>68</c:v>
                </c:pt>
                <c:pt idx="100">
                  <c:v>61</c:v>
                </c:pt>
                <c:pt idx="101">
                  <c:v>61</c:v>
                </c:pt>
                <c:pt idx="102">
                  <c:v>50</c:v>
                </c:pt>
                <c:pt idx="103">
                  <c:v>47</c:v>
                </c:pt>
                <c:pt idx="104">
                  <c:v>44</c:v>
                </c:pt>
                <c:pt idx="105">
                  <c:v>58</c:v>
                </c:pt>
                <c:pt idx="106">
                  <c:v>58</c:v>
                </c:pt>
                <c:pt idx="107">
                  <c:v>61</c:v>
                </c:pt>
                <c:pt idx="108">
                  <c:v>48</c:v>
                </c:pt>
                <c:pt idx="109">
                  <c:v>30</c:v>
                </c:pt>
                <c:pt idx="110">
                  <c:v>28</c:v>
                </c:pt>
                <c:pt idx="111">
                  <c:v>17</c:v>
                </c:pt>
                <c:pt idx="112">
                  <c:v>15</c:v>
                </c:pt>
                <c:pt idx="113">
                  <c:v>29</c:v>
                </c:pt>
                <c:pt idx="114">
                  <c:v>10</c:v>
                </c:pt>
                <c:pt idx="115">
                  <c:v>9</c:v>
                </c:pt>
                <c:pt idx="116">
                  <c:v>15</c:v>
                </c:pt>
                <c:pt idx="117">
                  <c:v>23</c:v>
                </c:pt>
                <c:pt idx="118">
                  <c:v>19</c:v>
                </c:pt>
                <c:pt idx="119">
                  <c:v>9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5">
                  <c:v>2</c:v>
                </c:pt>
                <c:pt idx="129">
                  <c:v>1</c:v>
                </c:pt>
                <c:pt idx="132">
                  <c:v>1</c:v>
                </c:pt>
                <c:pt idx="133">
                  <c:v>7</c:v>
                </c:pt>
                <c:pt idx="134">
                  <c:v>8</c:v>
                </c:pt>
                <c:pt idx="135">
                  <c:v>1</c:v>
                </c:pt>
                <c:pt idx="136">
                  <c:v>15</c:v>
                </c:pt>
                <c:pt idx="137">
                  <c:v>12</c:v>
                </c:pt>
                <c:pt idx="138">
                  <c:v>6</c:v>
                </c:pt>
                <c:pt idx="139">
                  <c:v>5</c:v>
                </c:pt>
                <c:pt idx="140">
                  <c:v>4</c:v>
                </c:pt>
                <c:pt idx="141">
                  <c:v>3</c:v>
                </c:pt>
                <c:pt idx="147">
                  <c:v>1</c:v>
                </c:pt>
                <c:pt idx="150">
                  <c:v>1</c:v>
                </c:pt>
                <c:pt idx="176">
                  <c:v>3</c:v>
                </c:pt>
                <c:pt idx="177">
                  <c:v>6</c:v>
                </c:pt>
                <c:pt idx="178">
                  <c:v>15</c:v>
                </c:pt>
                <c:pt idx="179">
                  <c:v>13</c:v>
                </c:pt>
                <c:pt idx="180">
                  <c:v>107</c:v>
                </c:pt>
                <c:pt idx="181">
                  <c:v>135</c:v>
                </c:pt>
                <c:pt idx="182">
                  <c:v>292</c:v>
                </c:pt>
                <c:pt idx="183">
                  <c:v>286</c:v>
                </c:pt>
                <c:pt idx="184">
                  <c:v>223</c:v>
                </c:pt>
                <c:pt idx="185">
                  <c:v>188</c:v>
                </c:pt>
                <c:pt idx="186">
                  <c:v>158</c:v>
                </c:pt>
                <c:pt idx="187">
                  <c:v>154</c:v>
                </c:pt>
                <c:pt idx="188">
                  <c:v>135</c:v>
                </c:pt>
                <c:pt idx="189">
                  <c:v>79</c:v>
                </c:pt>
                <c:pt idx="190">
                  <c:v>39</c:v>
                </c:pt>
                <c:pt idx="191">
                  <c:v>24</c:v>
                </c:pt>
                <c:pt idx="192">
                  <c:v>8</c:v>
                </c:pt>
                <c:pt idx="195">
                  <c:v>155</c:v>
                </c:pt>
                <c:pt idx="196">
                  <c:v>47</c:v>
                </c:pt>
                <c:pt idx="197">
                  <c:v>55</c:v>
                </c:pt>
                <c:pt idx="198">
                  <c:v>78</c:v>
                </c:pt>
                <c:pt idx="199">
                  <c:v>83</c:v>
                </c:pt>
                <c:pt idx="200">
                  <c:v>83</c:v>
                </c:pt>
                <c:pt idx="201">
                  <c:v>51</c:v>
                </c:pt>
                <c:pt idx="202">
                  <c:v>22</c:v>
                </c:pt>
                <c:pt idx="203">
                  <c:v>11</c:v>
                </c:pt>
                <c:pt idx="204">
                  <c:v>4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16">
                  <c:v>2</c:v>
                </c:pt>
                <c:pt idx="219">
                  <c:v>1</c:v>
                </c:pt>
                <c:pt idx="220">
                  <c:v>2</c:v>
                </c:pt>
                <c:pt idx="223">
                  <c:v>1</c:v>
                </c:pt>
                <c:pt idx="226">
                  <c:v>1</c:v>
                </c:pt>
                <c:pt idx="232">
                  <c:v>5</c:v>
                </c:pt>
                <c:pt idx="233">
                  <c:v>8</c:v>
                </c:pt>
                <c:pt idx="234">
                  <c:v>7</c:v>
                </c:pt>
                <c:pt idx="237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6">
                  <c:v>13</c:v>
                </c:pt>
                <c:pt idx="247">
                  <c:v>4</c:v>
                </c:pt>
                <c:pt idx="248">
                  <c:v>1</c:v>
                </c:pt>
                <c:pt idx="257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3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5</c:v>
                </c:pt>
                <c:pt idx="271">
                  <c:v>7</c:v>
                </c:pt>
                <c:pt idx="272">
                  <c:v>2</c:v>
                </c:pt>
                <c:pt idx="273">
                  <c:v>5</c:v>
                </c:pt>
                <c:pt idx="274">
                  <c:v>4</c:v>
                </c:pt>
                <c:pt idx="275">
                  <c:v>6</c:v>
                </c:pt>
                <c:pt idx="276">
                  <c:v>5</c:v>
                </c:pt>
                <c:pt idx="277">
                  <c:v>7</c:v>
                </c:pt>
                <c:pt idx="278">
                  <c:v>7</c:v>
                </c:pt>
                <c:pt idx="279">
                  <c:v>9</c:v>
                </c:pt>
                <c:pt idx="280">
                  <c:v>23</c:v>
                </c:pt>
                <c:pt idx="281">
                  <c:v>41</c:v>
                </c:pt>
                <c:pt idx="282">
                  <c:v>21</c:v>
                </c:pt>
                <c:pt idx="283">
                  <c:v>26</c:v>
                </c:pt>
                <c:pt idx="284">
                  <c:v>23</c:v>
                </c:pt>
                <c:pt idx="285">
                  <c:v>42</c:v>
                </c:pt>
                <c:pt idx="286">
                  <c:v>22</c:v>
                </c:pt>
                <c:pt idx="287">
                  <c:v>20</c:v>
                </c:pt>
                <c:pt idx="288">
                  <c:v>10</c:v>
                </c:pt>
                <c:pt idx="289">
                  <c:v>6</c:v>
                </c:pt>
                <c:pt idx="290">
                  <c:v>3</c:v>
                </c:pt>
                <c:pt idx="291">
                  <c:v>5</c:v>
                </c:pt>
                <c:pt idx="292">
                  <c:v>9</c:v>
                </c:pt>
                <c:pt idx="293">
                  <c:v>8</c:v>
                </c:pt>
                <c:pt idx="294">
                  <c:v>9</c:v>
                </c:pt>
                <c:pt idx="295">
                  <c:v>23</c:v>
                </c:pt>
                <c:pt idx="296">
                  <c:v>15</c:v>
                </c:pt>
                <c:pt idx="297">
                  <c:v>11</c:v>
                </c:pt>
                <c:pt idx="298">
                  <c:v>12</c:v>
                </c:pt>
                <c:pt idx="299">
                  <c:v>9</c:v>
                </c:pt>
                <c:pt idx="300">
                  <c:v>11</c:v>
                </c:pt>
                <c:pt idx="301">
                  <c:v>6</c:v>
                </c:pt>
                <c:pt idx="302">
                  <c:v>6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6</c:v>
                </c:pt>
                <c:pt idx="308">
                  <c:v>2</c:v>
                </c:pt>
                <c:pt idx="309">
                  <c:v>6</c:v>
                </c:pt>
                <c:pt idx="310">
                  <c:v>4</c:v>
                </c:pt>
                <c:pt idx="311">
                  <c:v>10</c:v>
                </c:pt>
                <c:pt idx="312">
                  <c:v>43</c:v>
                </c:pt>
                <c:pt idx="313">
                  <c:v>37</c:v>
                </c:pt>
                <c:pt idx="314">
                  <c:v>131</c:v>
                </c:pt>
                <c:pt idx="315">
                  <c:v>102</c:v>
                </c:pt>
                <c:pt idx="316">
                  <c:v>81</c:v>
                </c:pt>
                <c:pt idx="317">
                  <c:v>90</c:v>
                </c:pt>
                <c:pt idx="318">
                  <c:v>84</c:v>
                </c:pt>
                <c:pt idx="319">
                  <c:v>52</c:v>
                </c:pt>
                <c:pt idx="320">
                  <c:v>52</c:v>
                </c:pt>
                <c:pt idx="321">
                  <c:v>31</c:v>
                </c:pt>
                <c:pt idx="322">
                  <c:v>42</c:v>
                </c:pt>
                <c:pt idx="323">
                  <c:v>56</c:v>
                </c:pt>
                <c:pt idx="324">
                  <c:v>54</c:v>
                </c:pt>
                <c:pt idx="325">
                  <c:v>87</c:v>
                </c:pt>
                <c:pt idx="326">
                  <c:v>89</c:v>
                </c:pt>
                <c:pt idx="327">
                  <c:v>157</c:v>
                </c:pt>
                <c:pt idx="328">
                  <c:v>129</c:v>
                </c:pt>
                <c:pt idx="329">
                  <c:v>279</c:v>
                </c:pt>
                <c:pt idx="330">
                  <c:v>331</c:v>
                </c:pt>
                <c:pt idx="331">
                  <c:v>398</c:v>
                </c:pt>
                <c:pt idx="332">
                  <c:v>262</c:v>
                </c:pt>
                <c:pt idx="333">
                  <c:v>293</c:v>
                </c:pt>
                <c:pt idx="334">
                  <c:v>383</c:v>
                </c:pt>
                <c:pt idx="335">
                  <c:v>320</c:v>
                </c:pt>
                <c:pt idx="336">
                  <c:v>332</c:v>
                </c:pt>
                <c:pt idx="337">
                  <c:v>331</c:v>
                </c:pt>
                <c:pt idx="338">
                  <c:v>258</c:v>
                </c:pt>
                <c:pt idx="339">
                  <c:v>244</c:v>
                </c:pt>
                <c:pt idx="340">
                  <c:v>165</c:v>
                </c:pt>
                <c:pt idx="341">
                  <c:v>73</c:v>
                </c:pt>
                <c:pt idx="342">
                  <c:v>56</c:v>
                </c:pt>
                <c:pt idx="343">
                  <c:v>26</c:v>
                </c:pt>
                <c:pt idx="344">
                  <c:v>17</c:v>
                </c:pt>
                <c:pt idx="34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83-449C-B8A0-4CAED72097A2}"/>
            </c:ext>
          </c:extLst>
        </c:ser>
        <c:ser>
          <c:idx val="6"/>
          <c:order val="6"/>
          <c:tx>
            <c:strRef>
              <c:f>[1]画图1!$H$1</c:f>
              <c:strCache>
                <c:ptCount val="1"/>
                <c:pt idx="0">
                  <c:v>福建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[1]画图1!$H$2:$H$348</c:f>
              <c:numCache>
                <c:formatCode>General</c:formatCode>
                <c:ptCount val="347"/>
                <c:pt idx="69">
                  <c:v>2</c:v>
                </c:pt>
                <c:pt idx="70">
                  <c:v>0</c:v>
                </c:pt>
                <c:pt idx="71">
                  <c:v>10</c:v>
                </c:pt>
                <c:pt idx="72">
                  <c:v>63</c:v>
                </c:pt>
                <c:pt idx="73">
                  <c:v>36</c:v>
                </c:pt>
                <c:pt idx="74">
                  <c:v>141</c:v>
                </c:pt>
                <c:pt idx="75">
                  <c:v>190</c:v>
                </c:pt>
                <c:pt idx="76">
                  <c:v>275</c:v>
                </c:pt>
                <c:pt idx="77">
                  <c:v>263</c:v>
                </c:pt>
                <c:pt idx="78">
                  <c:v>255</c:v>
                </c:pt>
                <c:pt idx="79">
                  <c:v>215</c:v>
                </c:pt>
                <c:pt idx="80">
                  <c:v>267</c:v>
                </c:pt>
                <c:pt idx="81">
                  <c:v>230</c:v>
                </c:pt>
                <c:pt idx="82">
                  <c:v>169</c:v>
                </c:pt>
                <c:pt idx="83">
                  <c:v>158</c:v>
                </c:pt>
                <c:pt idx="84">
                  <c:v>265</c:v>
                </c:pt>
                <c:pt idx="85">
                  <c:v>184</c:v>
                </c:pt>
                <c:pt idx="86">
                  <c:v>125</c:v>
                </c:pt>
                <c:pt idx="87">
                  <c:v>87</c:v>
                </c:pt>
                <c:pt idx="88">
                  <c:v>134</c:v>
                </c:pt>
                <c:pt idx="89">
                  <c:v>76</c:v>
                </c:pt>
                <c:pt idx="90">
                  <c:v>71</c:v>
                </c:pt>
                <c:pt idx="91">
                  <c:v>45</c:v>
                </c:pt>
                <c:pt idx="92">
                  <c:v>31</c:v>
                </c:pt>
                <c:pt idx="93">
                  <c:v>13</c:v>
                </c:pt>
                <c:pt idx="94">
                  <c:v>22</c:v>
                </c:pt>
                <c:pt idx="95">
                  <c:v>18</c:v>
                </c:pt>
                <c:pt idx="96">
                  <c:v>11</c:v>
                </c:pt>
                <c:pt idx="97">
                  <c:v>10</c:v>
                </c:pt>
                <c:pt idx="98">
                  <c:v>8</c:v>
                </c:pt>
                <c:pt idx="99">
                  <c:v>16</c:v>
                </c:pt>
                <c:pt idx="100">
                  <c:v>26</c:v>
                </c:pt>
                <c:pt idx="101">
                  <c:v>12</c:v>
                </c:pt>
                <c:pt idx="102">
                  <c:v>18</c:v>
                </c:pt>
                <c:pt idx="103">
                  <c:v>16</c:v>
                </c:pt>
                <c:pt idx="104">
                  <c:v>69</c:v>
                </c:pt>
                <c:pt idx="105">
                  <c:v>22</c:v>
                </c:pt>
                <c:pt idx="106">
                  <c:v>18</c:v>
                </c:pt>
                <c:pt idx="107">
                  <c:v>6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2</c:v>
                </c:pt>
                <c:pt idx="113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20">
                  <c:v>1</c:v>
                </c:pt>
                <c:pt idx="121">
                  <c:v>3</c:v>
                </c:pt>
                <c:pt idx="122">
                  <c:v>1</c:v>
                </c:pt>
                <c:pt idx="124">
                  <c:v>1</c:v>
                </c:pt>
                <c:pt idx="128">
                  <c:v>1</c:v>
                </c:pt>
                <c:pt idx="129">
                  <c:v>2</c:v>
                </c:pt>
                <c:pt idx="132">
                  <c:v>1</c:v>
                </c:pt>
                <c:pt idx="135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56">
                  <c:v>1</c:v>
                </c:pt>
                <c:pt idx="157">
                  <c:v>2</c:v>
                </c:pt>
                <c:pt idx="158">
                  <c:v>2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83">
                  <c:v>10</c:v>
                </c:pt>
                <c:pt idx="184">
                  <c:v>7</c:v>
                </c:pt>
                <c:pt idx="185">
                  <c:v>8</c:v>
                </c:pt>
                <c:pt idx="186">
                  <c:v>19</c:v>
                </c:pt>
                <c:pt idx="187">
                  <c:v>17</c:v>
                </c:pt>
                <c:pt idx="188">
                  <c:v>21</c:v>
                </c:pt>
                <c:pt idx="189">
                  <c:v>7</c:v>
                </c:pt>
                <c:pt idx="190">
                  <c:v>18</c:v>
                </c:pt>
                <c:pt idx="191">
                  <c:v>11</c:v>
                </c:pt>
                <c:pt idx="192">
                  <c:v>2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3</c:v>
                </c:pt>
                <c:pt idx="208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7</c:v>
                </c:pt>
                <c:pt idx="214">
                  <c:v>2</c:v>
                </c:pt>
                <c:pt idx="219">
                  <c:v>5</c:v>
                </c:pt>
                <c:pt idx="220">
                  <c:v>9</c:v>
                </c:pt>
                <c:pt idx="221">
                  <c:v>4</c:v>
                </c:pt>
                <c:pt idx="222">
                  <c:v>5</c:v>
                </c:pt>
                <c:pt idx="223">
                  <c:v>2</c:v>
                </c:pt>
                <c:pt idx="224">
                  <c:v>4</c:v>
                </c:pt>
                <c:pt idx="225">
                  <c:v>7</c:v>
                </c:pt>
                <c:pt idx="226">
                  <c:v>12</c:v>
                </c:pt>
                <c:pt idx="227">
                  <c:v>8</c:v>
                </c:pt>
                <c:pt idx="228">
                  <c:v>10</c:v>
                </c:pt>
                <c:pt idx="229">
                  <c:v>16</c:v>
                </c:pt>
                <c:pt idx="230">
                  <c:v>9</c:v>
                </c:pt>
                <c:pt idx="231">
                  <c:v>3</c:v>
                </c:pt>
                <c:pt idx="232">
                  <c:v>8</c:v>
                </c:pt>
                <c:pt idx="233">
                  <c:v>4</c:v>
                </c:pt>
                <c:pt idx="234">
                  <c:v>1</c:v>
                </c:pt>
                <c:pt idx="235">
                  <c:v>1</c:v>
                </c:pt>
                <c:pt idx="236">
                  <c:v>3</c:v>
                </c:pt>
                <c:pt idx="237">
                  <c:v>17</c:v>
                </c:pt>
                <c:pt idx="238">
                  <c:v>5</c:v>
                </c:pt>
                <c:pt idx="239">
                  <c:v>1</c:v>
                </c:pt>
                <c:pt idx="247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2</c:v>
                </c:pt>
                <c:pt idx="254">
                  <c:v>2</c:v>
                </c:pt>
                <c:pt idx="257">
                  <c:v>3</c:v>
                </c:pt>
                <c:pt idx="259">
                  <c:v>3</c:v>
                </c:pt>
                <c:pt idx="263">
                  <c:v>1</c:v>
                </c:pt>
                <c:pt idx="271">
                  <c:v>3</c:v>
                </c:pt>
                <c:pt idx="272">
                  <c:v>1</c:v>
                </c:pt>
                <c:pt idx="273">
                  <c:v>2</c:v>
                </c:pt>
                <c:pt idx="274">
                  <c:v>4</c:v>
                </c:pt>
                <c:pt idx="275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3</c:v>
                </c:pt>
                <c:pt idx="280">
                  <c:v>4</c:v>
                </c:pt>
                <c:pt idx="281">
                  <c:v>7</c:v>
                </c:pt>
                <c:pt idx="282">
                  <c:v>4</c:v>
                </c:pt>
                <c:pt idx="283">
                  <c:v>1</c:v>
                </c:pt>
                <c:pt idx="284">
                  <c:v>3</c:v>
                </c:pt>
                <c:pt idx="286">
                  <c:v>2</c:v>
                </c:pt>
                <c:pt idx="290">
                  <c:v>3</c:v>
                </c:pt>
                <c:pt idx="291">
                  <c:v>1</c:v>
                </c:pt>
                <c:pt idx="292">
                  <c:v>1</c:v>
                </c:pt>
                <c:pt idx="295">
                  <c:v>23</c:v>
                </c:pt>
                <c:pt idx="296">
                  <c:v>57</c:v>
                </c:pt>
                <c:pt idx="297">
                  <c:v>92</c:v>
                </c:pt>
                <c:pt idx="298">
                  <c:v>92</c:v>
                </c:pt>
                <c:pt idx="299">
                  <c:v>174</c:v>
                </c:pt>
                <c:pt idx="300">
                  <c:v>98</c:v>
                </c:pt>
                <c:pt idx="301">
                  <c:v>186</c:v>
                </c:pt>
                <c:pt idx="302">
                  <c:v>176</c:v>
                </c:pt>
                <c:pt idx="303">
                  <c:v>137</c:v>
                </c:pt>
                <c:pt idx="304">
                  <c:v>92</c:v>
                </c:pt>
                <c:pt idx="305">
                  <c:v>99</c:v>
                </c:pt>
                <c:pt idx="306">
                  <c:v>71</c:v>
                </c:pt>
                <c:pt idx="307">
                  <c:v>60</c:v>
                </c:pt>
                <c:pt idx="308">
                  <c:v>40</c:v>
                </c:pt>
                <c:pt idx="309">
                  <c:v>38</c:v>
                </c:pt>
                <c:pt idx="310">
                  <c:v>33</c:v>
                </c:pt>
                <c:pt idx="311">
                  <c:v>45</c:v>
                </c:pt>
                <c:pt idx="312">
                  <c:v>44</c:v>
                </c:pt>
                <c:pt idx="313">
                  <c:v>28</c:v>
                </c:pt>
                <c:pt idx="314">
                  <c:v>28</c:v>
                </c:pt>
                <c:pt idx="315">
                  <c:v>25</c:v>
                </c:pt>
                <c:pt idx="316">
                  <c:v>35</c:v>
                </c:pt>
                <c:pt idx="317">
                  <c:v>21</c:v>
                </c:pt>
                <c:pt idx="318">
                  <c:v>32</c:v>
                </c:pt>
                <c:pt idx="319">
                  <c:v>20</c:v>
                </c:pt>
                <c:pt idx="320">
                  <c:v>22</c:v>
                </c:pt>
                <c:pt idx="321">
                  <c:v>22</c:v>
                </c:pt>
                <c:pt idx="322">
                  <c:v>41</c:v>
                </c:pt>
                <c:pt idx="323">
                  <c:v>39</c:v>
                </c:pt>
                <c:pt idx="324">
                  <c:v>27</c:v>
                </c:pt>
                <c:pt idx="325">
                  <c:v>35</c:v>
                </c:pt>
                <c:pt idx="326">
                  <c:v>57</c:v>
                </c:pt>
                <c:pt idx="327">
                  <c:v>74</c:v>
                </c:pt>
                <c:pt idx="328">
                  <c:v>100</c:v>
                </c:pt>
                <c:pt idx="329">
                  <c:v>140</c:v>
                </c:pt>
                <c:pt idx="330">
                  <c:v>140</c:v>
                </c:pt>
                <c:pt idx="331">
                  <c:v>167</c:v>
                </c:pt>
                <c:pt idx="332">
                  <c:v>145</c:v>
                </c:pt>
                <c:pt idx="333">
                  <c:v>182</c:v>
                </c:pt>
                <c:pt idx="334">
                  <c:v>222</c:v>
                </c:pt>
                <c:pt idx="335">
                  <c:v>259</c:v>
                </c:pt>
                <c:pt idx="336">
                  <c:v>368</c:v>
                </c:pt>
                <c:pt idx="337">
                  <c:v>395</c:v>
                </c:pt>
                <c:pt idx="338">
                  <c:v>458</c:v>
                </c:pt>
                <c:pt idx="339">
                  <c:v>580</c:v>
                </c:pt>
                <c:pt idx="340">
                  <c:v>578</c:v>
                </c:pt>
                <c:pt idx="341">
                  <c:v>299</c:v>
                </c:pt>
                <c:pt idx="342">
                  <c:v>173</c:v>
                </c:pt>
                <c:pt idx="343">
                  <c:v>138</c:v>
                </c:pt>
                <c:pt idx="344">
                  <c:v>108</c:v>
                </c:pt>
                <c:pt idx="345">
                  <c:v>53</c:v>
                </c:pt>
                <c:pt idx="346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83-449C-B8A0-4CAED72097A2}"/>
            </c:ext>
          </c:extLst>
        </c:ser>
        <c:ser>
          <c:idx val="7"/>
          <c:order val="7"/>
          <c:tx>
            <c:strRef>
              <c:f>[1]画图1!$I$1</c:f>
              <c:strCache>
                <c:ptCount val="1"/>
                <c:pt idx="0">
                  <c:v>广东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[1]画图1!$I$2:$I$348</c:f>
              <c:numCache>
                <c:formatCode>General</c:formatCode>
                <c:ptCount val="347"/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8</c:v>
                </c:pt>
                <c:pt idx="11">
                  <c:v>2</c:v>
                </c:pt>
                <c:pt idx="12">
                  <c:v>1</c:v>
                </c:pt>
                <c:pt idx="13">
                  <c:v>10</c:v>
                </c:pt>
                <c:pt idx="14">
                  <c:v>2</c:v>
                </c:pt>
                <c:pt idx="15">
                  <c:v>9</c:v>
                </c:pt>
                <c:pt idx="16">
                  <c:v>5</c:v>
                </c:pt>
                <c:pt idx="17">
                  <c:v>8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</c:v>
                </c:pt>
                <c:pt idx="32">
                  <c:v>1</c:v>
                </c:pt>
                <c:pt idx="33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2</c:v>
                </c:pt>
                <c:pt idx="45">
                  <c:v>4</c:v>
                </c:pt>
                <c:pt idx="46">
                  <c:v>9</c:v>
                </c:pt>
                <c:pt idx="47">
                  <c:v>5</c:v>
                </c:pt>
                <c:pt idx="48">
                  <c:v>3</c:v>
                </c:pt>
                <c:pt idx="49">
                  <c:v>8</c:v>
                </c:pt>
                <c:pt idx="50">
                  <c:v>7</c:v>
                </c:pt>
                <c:pt idx="51">
                  <c:v>3</c:v>
                </c:pt>
                <c:pt idx="52">
                  <c:v>9</c:v>
                </c:pt>
                <c:pt idx="53">
                  <c:v>9</c:v>
                </c:pt>
                <c:pt idx="54">
                  <c:v>13</c:v>
                </c:pt>
                <c:pt idx="55">
                  <c:v>39</c:v>
                </c:pt>
                <c:pt idx="56">
                  <c:v>53</c:v>
                </c:pt>
                <c:pt idx="57">
                  <c:v>65</c:v>
                </c:pt>
                <c:pt idx="58">
                  <c:v>56</c:v>
                </c:pt>
                <c:pt idx="59">
                  <c:v>45</c:v>
                </c:pt>
                <c:pt idx="60">
                  <c:v>34</c:v>
                </c:pt>
                <c:pt idx="61">
                  <c:v>28</c:v>
                </c:pt>
                <c:pt idx="62">
                  <c:v>64</c:v>
                </c:pt>
                <c:pt idx="63">
                  <c:v>52</c:v>
                </c:pt>
                <c:pt idx="64">
                  <c:v>173</c:v>
                </c:pt>
                <c:pt idx="65">
                  <c:v>116</c:v>
                </c:pt>
                <c:pt idx="66">
                  <c:v>26</c:v>
                </c:pt>
                <c:pt idx="67">
                  <c:v>22</c:v>
                </c:pt>
                <c:pt idx="68">
                  <c:v>177</c:v>
                </c:pt>
                <c:pt idx="69">
                  <c:v>224</c:v>
                </c:pt>
                <c:pt idx="70">
                  <c:v>256</c:v>
                </c:pt>
                <c:pt idx="71">
                  <c:v>229</c:v>
                </c:pt>
                <c:pt idx="72">
                  <c:v>116</c:v>
                </c:pt>
                <c:pt idx="73">
                  <c:v>112</c:v>
                </c:pt>
                <c:pt idx="74">
                  <c:v>153</c:v>
                </c:pt>
                <c:pt idx="75">
                  <c:v>132</c:v>
                </c:pt>
                <c:pt idx="76">
                  <c:v>94</c:v>
                </c:pt>
                <c:pt idx="77">
                  <c:v>78</c:v>
                </c:pt>
                <c:pt idx="78">
                  <c:v>51</c:v>
                </c:pt>
                <c:pt idx="79">
                  <c:v>28</c:v>
                </c:pt>
                <c:pt idx="80">
                  <c:v>26</c:v>
                </c:pt>
                <c:pt idx="81">
                  <c:v>16</c:v>
                </c:pt>
                <c:pt idx="82">
                  <c:v>10</c:v>
                </c:pt>
                <c:pt idx="83">
                  <c:v>11</c:v>
                </c:pt>
                <c:pt idx="84">
                  <c:v>10</c:v>
                </c:pt>
                <c:pt idx="85">
                  <c:v>22</c:v>
                </c:pt>
                <c:pt idx="86">
                  <c:v>18</c:v>
                </c:pt>
                <c:pt idx="87">
                  <c:v>16</c:v>
                </c:pt>
                <c:pt idx="88">
                  <c:v>19</c:v>
                </c:pt>
                <c:pt idx="89">
                  <c:v>18</c:v>
                </c:pt>
                <c:pt idx="90">
                  <c:v>22</c:v>
                </c:pt>
                <c:pt idx="91">
                  <c:v>9</c:v>
                </c:pt>
                <c:pt idx="92">
                  <c:v>12</c:v>
                </c:pt>
                <c:pt idx="93">
                  <c:v>4</c:v>
                </c:pt>
                <c:pt idx="94">
                  <c:v>8</c:v>
                </c:pt>
                <c:pt idx="95">
                  <c:v>4</c:v>
                </c:pt>
                <c:pt idx="96">
                  <c:v>9</c:v>
                </c:pt>
                <c:pt idx="97">
                  <c:v>9</c:v>
                </c:pt>
                <c:pt idx="98">
                  <c:v>22</c:v>
                </c:pt>
                <c:pt idx="99">
                  <c:v>37</c:v>
                </c:pt>
                <c:pt idx="100">
                  <c:v>29</c:v>
                </c:pt>
                <c:pt idx="101">
                  <c:v>22</c:v>
                </c:pt>
                <c:pt idx="102">
                  <c:v>66</c:v>
                </c:pt>
                <c:pt idx="103">
                  <c:v>40</c:v>
                </c:pt>
                <c:pt idx="104">
                  <c:v>37</c:v>
                </c:pt>
                <c:pt idx="105">
                  <c:v>36</c:v>
                </c:pt>
                <c:pt idx="106">
                  <c:v>30</c:v>
                </c:pt>
                <c:pt idx="107">
                  <c:v>14</c:v>
                </c:pt>
                <c:pt idx="108">
                  <c:v>17</c:v>
                </c:pt>
                <c:pt idx="109">
                  <c:v>10</c:v>
                </c:pt>
                <c:pt idx="110">
                  <c:v>4</c:v>
                </c:pt>
                <c:pt idx="111">
                  <c:v>5</c:v>
                </c:pt>
                <c:pt idx="112">
                  <c:v>2</c:v>
                </c:pt>
                <c:pt idx="113">
                  <c:v>3</c:v>
                </c:pt>
                <c:pt idx="114">
                  <c:v>1</c:v>
                </c:pt>
                <c:pt idx="117">
                  <c:v>14</c:v>
                </c:pt>
                <c:pt idx="118">
                  <c:v>42</c:v>
                </c:pt>
                <c:pt idx="119">
                  <c:v>21</c:v>
                </c:pt>
                <c:pt idx="120">
                  <c:v>18</c:v>
                </c:pt>
                <c:pt idx="121">
                  <c:v>10</c:v>
                </c:pt>
                <c:pt idx="122">
                  <c:v>12</c:v>
                </c:pt>
                <c:pt idx="123">
                  <c:v>17</c:v>
                </c:pt>
                <c:pt idx="124">
                  <c:v>8</c:v>
                </c:pt>
                <c:pt idx="125">
                  <c:v>8</c:v>
                </c:pt>
                <c:pt idx="126">
                  <c:v>22</c:v>
                </c:pt>
                <c:pt idx="127">
                  <c:v>39</c:v>
                </c:pt>
                <c:pt idx="128">
                  <c:v>18</c:v>
                </c:pt>
                <c:pt idx="129">
                  <c:v>20</c:v>
                </c:pt>
                <c:pt idx="130">
                  <c:v>4</c:v>
                </c:pt>
                <c:pt idx="131">
                  <c:v>10</c:v>
                </c:pt>
                <c:pt idx="132">
                  <c:v>5</c:v>
                </c:pt>
                <c:pt idx="133">
                  <c:v>1</c:v>
                </c:pt>
                <c:pt idx="134">
                  <c:v>4</c:v>
                </c:pt>
                <c:pt idx="135">
                  <c:v>0</c:v>
                </c:pt>
                <c:pt idx="136">
                  <c:v>1</c:v>
                </c:pt>
                <c:pt idx="137">
                  <c:v>2</c:v>
                </c:pt>
                <c:pt idx="138">
                  <c:v>3</c:v>
                </c:pt>
                <c:pt idx="139">
                  <c:v>2</c:v>
                </c:pt>
                <c:pt idx="140">
                  <c:v>1</c:v>
                </c:pt>
                <c:pt idx="141">
                  <c:v>1</c:v>
                </c:pt>
                <c:pt idx="168">
                  <c:v>2</c:v>
                </c:pt>
                <c:pt idx="170">
                  <c:v>2</c:v>
                </c:pt>
                <c:pt idx="171">
                  <c:v>1</c:v>
                </c:pt>
                <c:pt idx="172">
                  <c:v>3</c:v>
                </c:pt>
                <c:pt idx="173">
                  <c:v>5</c:v>
                </c:pt>
                <c:pt idx="174">
                  <c:v>6</c:v>
                </c:pt>
                <c:pt idx="175">
                  <c:v>5</c:v>
                </c:pt>
                <c:pt idx="176">
                  <c:v>3</c:v>
                </c:pt>
                <c:pt idx="177">
                  <c:v>5</c:v>
                </c:pt>
                <c:pt idx="178">
                  <c:v>3</c:v>
                </c:pt>
                <c:pt idx="179">
                  <c:v>3</c:v>
                </c:pt>
                <c:pt idx="180">
                  <c:v>2</c:v>
                </c:pt>
                <c:pt idx="181">
                  <c:v>1</c:v>
                </c:pt>
                <c:pt idx="183">
                  <c:v>1</c:v>
                </c:pt>
                <c:pt idx="184">
                  <c:v>3</c:v>
                </c:pt>
                <c:pt idx="185">
                  <c:v>1</c:v>
                </c:pt>
                <c:pt idx="186">
                  <c:v>3</c:v>
                </c:pt>
                <c:pt idx="187">
                  <c:v>7</c:v>
                </c:pt>
                <c:pt idx="188">
                  <c:v>8</c:v>
                </c:pt>
                <c:pt idx="189">
                  <c:v>25</c:v>
                </c:pt>
                <c:pt idx="190">
                  <c:v>29</c:v>
                </c:pt>
                <c:pt idx="191">
                  <c:v>40</c:v>
                </c:pt>
                <c:pt idx="192">
                  <c:v>20</c:v>
                </c:pt>
                <c:pt idx="193">
                  <c:v>43</c:v>
                </c:pt>
                <c:pt idx="194">
                  <c:v>53</c:v>
                </c:pt>
                <c:pt idx="195">
                  <c:v>31</c:v>
                </c:pt>
                <c:pt idx="196">
                  <c:v>15</c:v>
                </c:pt>
                <c:pt idx="197">
                  <c:v>14</c:v>
                </c:pt>
                <c:pt idx="198">
                  <c:v>13</c:v>
                </c:pt>
                <c:pt idx="199">
                  <c:v>27</c:v>
                </c:pt>
                <c:pt idx="200">
                  <c:v>23</c:v>
                </c:pt>
                <c:pt idx="201">
                  <c:v>21</c:v>
                </c:pt>
                <c:pt idx="202">
                  <c:v>31</c:v>
                </c:pt>
                <c:pt idx="203">
                  <c:v>20</c:v>
                </c:pt>
                <c:pt idx="204">
                  <c:v>23</c:v>
                </c:pt>
                <c:pt idx="205">
                  <c:v>22</c:v>
                </c:pt>
                <c:pt idx="206">
                  <c:v>5</c:v>
                </c:pt>
                <c:pt idx="207">
                  <c:v>12</c:v>
                </c:pt>
                <c:pt idx="208">
                  <c:v>6</c:v>
                </c:pt>
                <c:pt idx="209">
                  <c:v>2</c:v>
                </c:pt>
                <c:pt idx="210">
                  <c:v>3</c:v>
                </c:pt>
                <c:pt idx="211">
                  <c:v>2</c:v>
                </c:pt>
                <c:pt idx="212">
                  <c:v>1</c:v>
                </c:pt>
                <c:pt idx="215">
                  <c:v>1</c:v>
                </c:pt>
                <c:pt idx="216">
                  <c:v>13</c:v>
                </c:pt>
                <c:pt idx="217">
                  <c:v>17</c:v>
                </c:pt>
                <c:pt idx="218">
                  <c:v>43</c:v>
                </c:pt>
                <c:pt idx="219">
                  <c:v>37</c:v>
                </c:pt>
                <c:pt idx="220">
                  <c:v>46</c:v>
                </c:pt>
                <c:pt idx="221">
                  <c:v>29</c:v>
                </c:pt>
                <c:pt idx="222">
                  <c:v>29</c:v>
                </c:pt>
                <c:pt idx="223">
                  <c:v>21</c:v>
                </c:pt>
                <c:pt idx="224">
                  <c:v>13</c:v>
                </c:pt>
                <c:pt idx="225">
                  <c:v>14</c:v>
                </c:pt>
                <c:pt idx="226">
                  <c:v>14</c:v>
                </c:pt>
                <c:pt idx="227">
                  <c:v>8</c:v>
                </c:pt>
                <c:pt idx="228">
                  <c:v>5</c:v>
                </c:pt>
                <c:pt idx="229">
                  <c:v>5</c:v>
                </c:pt>
                <c:pt idx="230">
                  <c:v>12</c:v>
                </c:pt>
                <c:pt idx="231">
                  <c:v>15</c:v>
                </c:pt>
                <c:pt idx="232">
                  <c:v>20</c:v>
                </c:pt>
                <c:pt idx="233">
                  <c:v>6</c:v>
                </c:pt>
                <c:pt idx="234">
                  <c:v>12</c:v>
                </c:pt>
                <c:pt idx="235">
                  <c:v>6</c:v>
                </c:pt>
                <c:pt idx="236">
                  <c:v>8</c:v>
                </c:pt>
                <c:pt idx="237">
                  <c:v>8</c:v>
                </c:pt>
                <c:pt idx="238">
                  <c:v>16</c:v>
                </c:pt>
                <c:pt idx="239">
                  <c:v>12</c:v>
                </c:pt>
                <c:pt idx="240">
                  <c:v>36</c:v>
                </c:pt>
                <c:pt idx="241">
                  <c:v>46</c:v>
                </c:pt>
                <c:pt idx="242">
                  <c:v>74</c:v>
                </c:pt>
                <c:pt idx="243">
                  <c:v>94</c:v>
                </c:pt>
                <c:pt idx="244">
                  <c:v>103</c:v>
                </c:pt>
                <c:pt idx="245">
                  <c:v>103</c:v>
                </c:pt>
                <c:pt idx="246">
                  <c:v>87</c:v>
                </c:pt>
                <c:pt idx="247">
                  <c:v>58</c:v>
                </c:pt>
                <c:pt idx="248">
                  <c:v>54</c:v>
                </c:pt>
                <c:pt idx="249">
                  <c:v>36</c:v>
                </c:pt>
                <c:pt idx="250">
                  <c:v>61</c:v>
                </c:pt>
                <c:pt idx="251">
                  <c:v>31</c:v>
                </c:pt>
                <c:pt idx="252">
                  <c:v>25</c:v>
                </c:pt>
                <c:pt idx="253">
                  <c:v>25</c:v>
                </c:pt>
                <c:pt idx="254">
                  <c:v>11</c:v>
                </c:pt>
                <c:pt idx="255">
                  <c:v>9</c:v>
                </c:pt>
                <c:pt idx="256">
                  <c:v>9</c:v>
                </c:pt>
                <c:pt idx="257">
                  <c:v>6</c:v>
                </c:pt>
                <c:pt idx="258">
                  <c:v>4</c:v>
                </c:pt>
                <c:pt idx="259">
                  <c:v>2</c:v>
                </c:pt>
                <c:pt idx="260">
                  <c:v>3</c:v>
                </c:pt>
                <c:pt idx="261">
                  <c:v>1</c:v>
                </c:pt>
                <c:pt idx="262">
                  <c:v>5</c:v>
                </c:pt>
                <c:pt idx="263">
                  <c:v>2</c:v>
                </c:pt>
                <c:pt idx="264">
                  <c:v>6</c:v>
                </c:pt>
                <c:pt idx="265">
                  <c:v>2</c:v>
                </c:pt>
                <c:pt idx="266">
                  <c:v>4</c:v>
                </c:pt>
                <c:pt idx="267">
                  <c:v>12</c:v>
                </c:pt>
                <c:pt idx="268">
                  <c:v>17</c:v>
                </c:pt>
                <c:pt idx="269">
                  <c:v>5</c:v>
                </c:pt>
                <c:pt idx="270">
                  <c:v>20</c:v>
                </c:pt>
                <c:pt idx="271">
                  <c:v>31</c:v>
                </c:pt>
                <c:pt idx="272">
                  <c:v>38</c:v>
                </c:pt>
                <c:pt idx="273">
                  <c:v>27</c:v>
                </c:pt>
                <c:pt idx="274">
                  <c:v>43</c:v>
                </c:pt>
                <c:pt idx="275">
                  <c:v>42</c:v>
                </c:pt>
                <c:pt idx="276">
                  <c:v>52</c:v>
                </c:pt>
                <c:pt idx="277">
                  <c:v>56</c:v>
                </c:pt>
                <c:pt idx="278">
                  <c:v>68</c:v>
                </c:pt>
                <c:pt idx="279">
                  <c:v>66</c:v>
                </c:pt>
                <c:pt idx="280">
                  <c:v>48</c:v>
                </c:pt>
                <c:pt idx="281">
                  <c:v>51</c:v>
                </c:pt>
                <c:pt idx="282">
                  <c:v>53</c:v>
                </c:pt>
                <c:pt idx="283">
                  <c:v>51</c:v>
                </c:pt>
                <c:pt idx="284">
                  <c:v>47</c:v>
                </c:pt>
                <c:pt idx="285">
                  <c:v>61</c:v>
                </c:pt>
                <c:pt idx="286">
                  <c:v>86</c:v>
                </c:pt>
                <c:pt idx="287">
                  <c:v>59</c:v>
                </c:pt>
                <c:pt idx="288">
                  <c:v>61</c:v>
                </c:pt>
                <c:pt idx="289">
                  <c:v>97</c:v>
                </c:pt>
                <c:pt idx="290">
                  <c:v>97</c:v>
                </c:pt>
                <c:pt idx="291">
                  <c:v>84</c:v>
                </c:pt>
                <c:pt idx="292">
                  <c:v>89</c:v>
                </c:pt>
                <c:pt idx="293">
                  <c:v>93</c:v>
                </c:pt>
                <c:pt idx="294">
                  <c:v>89</c:v>
                </c:pt>
                <c:pt idx="295">
                  <c:v>93</c:v>
                </c:pt>
                <c:pt idx="296">
                  <c:v>93</c:v>
                </c:pt>
                <c:pt idx="297">
                  <c:v>112</c:v>
                </c:pt>
                <c:pt idx="298">
                  <c:v>98</c:v>
                </c:pt>
                <c:pt idx="299">
                  <c:v>115</c:v>
                </c:pt>
                <c:pt idx="300">
                  <c:v>199</c:v>
                </c:pt>
                <c:pt idx="301">
                  <c:v>278</c:v>
                </c:pt>
                <c:pt idx="302">
                  <c:v>757</c:v>
                </c:pt>
                <c:pt idx="303">
                  <c:v>697</c:v>
                </c:pt>
                <c:pt idx="304">
                  <c:v>404</c:v>
                </c:pt>
                <c:pt idx="305">
                  <c:v>425</c:v>
                </c:pt>
                <c:pt idx="306">
                  <c:v>657</c:v>
                </c:pt>
                <c:pt idx="307">
                  <c:v>829</c:v>
                </c:pt>
                <c:pt idx="308">
                  <c:v>1463</c:v>
                </c:pt>
                <c:pt idx="309">
                  <c:v>2067</c:v>
                </c:pt>
                <c:pt idx="310">
                  <c:v>2528</c:v>
                </c:pt>
                <c:pt idx="311">
                  <c:v>2808</c:v>
                </c:pt>
                <c:pt idx="312">
                  <c:v>2707</c:v>
                </c:pt>
                <c:pt idx="313">
                  <c:v>2750</c:v>
                </c:pt>
                <c:pt idx="314">
                  <c:v>3319</c:v>
                </c:pt>
                <c:pt idx="315">
                  <c:v>3788</c:v>
                </c:pt>
                <c:pt idx="316">
                  <c:v>4160</c:v>
                </c:pt>
                <c:pt idx="317">
                  <c:v>5220</c:v>
                </c:pt>
                <c:pt idx="318">
                  <c:v>6410</c:v>
                </c:pt>
                <c:pt idx="319">
                  <c:v>8883</c:v>
                </c:pt>
                <c:pt idx="320">
                  <c:v>9431</c:v>
                </c:pt>
                <c:pt idx="321">
                  <c:v>8890</c:v>
                </c:pt>
                <c:pt idx="322">
                  <c:v>8662</c:v>
                </c:pt>
                <c:pt idx="323">
                  <c:v>8485</c:v>
                </c:pt>
                <c:pt idx="324">
                  <c:v>8588</c:v>
                </c:pt>
                <c:pt idx="325">
                  <c:v>8304</c:v>
                </c:pt>
                <c:pt idx="326">
                  <c:v>8054</c:v>
                </c:pt>
                <c:pt idx="327">
                  <c:v>7979</c:v>
                </c:pt>
                <c:pt idx="328">
                  <c:v>7911</c:v>
                </c:pt>
                <c:pt idx="329">
                  <c:v>8033</c:v>
                </c:pt>
                <c:pt idx="330">
                  <c:v>8140</c:v>
                </c:pt>
                <c:pt idx="331">
                  <c:v>8194</c:v>
                </c:pt>
                <c:pt idx="332">
                  <c:v>8006</c:v>
                </c:pt>
                <c:pt idx="333">
                  <c:v>7252</c:v>
                </c:pt>
                <c:pt idx="334">
                  <c:v>6968</c:v>
                </c:pt>
                <c:pt idx="335">
                  <c:v>6315</c:v>
                </c:pt>
                <c:pt idx="336">
                  <c:v>6240</c:v>
                </c:pt>
                <c:pt idx="337">
                  <c:v>6184</c:v>
                </c:pt>
                <c:pt idx="338">
                  <c:v>5110</c:v>
                </c:pt>
                <c:pt idx="339">
                  <c:v>4486</c:v>
                </c:pt>
                <c:pt idx="340">
                  <c:v>3964</c:v>
                </c:pt>
                <c:pt idx="341">
                  <c:v>3245</c:v>
                </c:pt>
                <c:pt idx="342">
                  <c:v>2812</c:v>
                </c:pt>
                <c:pt idx="343">
                  <c:v>2492</c:v>
                </c:pt>
                <c:pt idx="344">
                  <c:v>2311</c:v>
                </c:pt>
                <c:pt idx="345">
                  <c:v>1932</c:v>
                </c:pt>
                <c:pt idx="346">
                  <c:v>1044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083-449C-B8A0-4CAED72097A2}"/>
            </c:ext>
          </c:extLst>
        </c:ser>
        <c:ser>
          <c:idx val="8"/>
          <c:order val="8"/>
          <c:tx>
            <c:strRef>
              <c:f>[1]画图1!$J$1</c:f>
              <c:strCache>
                <c:ptCount val="1"/>
                <c:pt idx="0">
                  <c:v>广西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[1]画图1!$J$2:$J$348</c:f>
              <c:numCache>
                <c:formatCode>General</c:formatCode>
                <c:ptCount val="347"/>
                <c:pt idx="35">
                  <c:v>6</c:v>
                </c:pt>
                <c:pt idx="36">
                  <c:v>42</c:v>
                </c:pt>
                <c:pt idx="37">
                  <c:v>66</c:v>
                </c:pt>
                <c:pt idx="38">
                  <c:v>72</c:v>
                </c:pt>
                <c:pt idx="39">
                  <c:v>7</c:v>
                </c:pt>
                <c:pt idx="40">
                  <c:v>33</c:v>
                </c:pt>
                <c:pt idx="41">
                  <c:v>30</c:v>
                </c:pt>
                <c:pt idx="42">
                  <c:v>13</c:v>
                </c:pt>
                <c:pt idx="43">
                  <c:v>6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53">
                  <c:v>3</c:v>
                </c:pt>
                <c:pt idx="54">
                  <c:v>4</c:v>
                </c:pt>
                <c:pt idx="55">
                  <c:v>9</c:v>
                </c:pt>
                <c:pt idx="56">
                  <c:v>7</c:v>
                </c:pt>
                <c:pt idx="57">
                  <c:v>11</c:v>
                </c:pt>
                <c:pt idx="58">
                  <c:v>6</c:v>
                </c:pt>
                <c:pt idx="59">
                  <c:v>10</c:v>
                </c:pt>
                <c:pt idx="60">
                  <c:v>8</c:v>
                </c:pt>
                <c:pt idx="61">
                  <c:v>8</c:v>
                </c:pt>
                <c:pt idx="62">
                  <c:v>7</c:v>
                </c:pt>
                <c:pt idx="63">
                  <c:v>12</c:v>
                </c:pt>
                <c:pt idx="64">
                  <c:v>11</c:v>
                </c:pt>
                <c:pt idx="65">
                  <c:v>3</c:v>
                </c:pt>
                <c:pt idx="66">
                  <c:v>4</c:v>
                </c:pt>
                <c:pt idx="67">
                  <c:v>1</c:v>
                </c:pt>
                <c:pt idx="68">
                  <c:v>6</c:v>
                </c:pt>
                <c:pt idx="69">
                  <c:v>5</c:v>
                </c:pt>
                <c:pt idx="70">
                  <c:v>9</c:v>
                </c:pt>
                <c:pt idx="71">
                  <c:v>17</c:v>
                </c:pt>
                <c:pt idx="72">
                  <c:v>23</c:v>
                </c:pt>
                <c:pt idx="73">
                  <c:v>25</c:v>
                </c:pt>
                <c:pt idx="74">
                  <c:v>30</c:v>
                </c:pt>
                <c:pt idx="75">
                  <c:v>22</c:v>
                </c:pt>
                <c:pt idx="76">
                  <c:v>18</c:v>
                </c:pt>
                <c:pt idx="77">
                  <c:v>24</c:v>
                </c:pt>
                <c:pt idx="78">
                  <c:v>21</c:v>
                </c:pt>
                <c:pt idx="79">
                  <c:v>18</c:v>
                </c:pt>
                <c:pt idx="80">
                  <c:v>7</c:v>
                </c:pt>
                <c:pt idx="81">
                  <c:v>8</c:v>
                </c:pt>
                <c:pt idx="82">
                  <c:v>17</c:v>
                </c:pt>
                <c:pt idx="83">
                  <c:v>10</c:v>
                </c:pt>
                <c:pt idx="84">
                  <c:v>11</c:v>
                </c:pt>
                <c:pt idx="85">
                  <c:v>13</c:v>
                </c:pt>
                <c:pt idx="86">
                  <c:v>10</c:v>
                </c:pt>
                <c:pt idx="87">
                  <c:v>13</c:v>
                </c:pt>
                <c:pt idx="88">
                  <c:v>11</c:v>
                </c:pt>
                <c:pt idx="89">
                  <c:v>16</c:v>
                </c:pt>
                <c:pt idx="90">
                  <c:v>6</c:v>
                </c:pt>
                <c:pt idx="91">
                  <c:v>4</c:v>
                </c:pt>
                <c:pt idx="92">
                  <c:v>0</c:v>
                </c:pt>
                <c:pt idx="93">
                  <c:v>2</c:v>
                </c:pt>
                <c:pt idx="94">
                  <c:v>2</c:v>
                </c:pt>
                <c:pt idx="95">
                  <c:v>8</c:v>
                </c:pt>
                <c:pt idx="96">
                  <c:v>11</c:v>
                </c:pt>
                <c:pt idx="97">
                  <c:v>4</c:v>
                </c:pt>
                <c:pt idx="98">
                  <c:v>7</c:v>
                </c:pt>
                <c:pt idx="99">
                  <c:v>2</c:v>
                </c:pt>
                <c:pt idx="100">
                  <c:v>6</c:v>
                </c:pt>
                <c:pt idx="101">
                  <c:v>71</c:v>
                </c:pt>
                <c:pt idx="102">
                  <c:v>129</c:v>
                </c:pt>
                <c:pt idx="103">
                  <c:v>136</c:v>
                </c:pt>
                <c:pt idx="104">
                  <c:v>55</c:v>
                </c:pt>
                <c:pt idx="105">
                  <c:v>17</c:v>
                </c:pt>
                <c:pt idx="106">
                  <c:v>16</c:v>
                </c:pt>
                <c:pt idx="107">
                  <c:v>15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2</c:v>
                </c:pt>
                <c:pt idx="112">
                  <c:v>2</c:v>
                </c:pt>
                <c:pt idx="113">
                  <c:v>1</c:v>
                </c:pt>
                <c:pt idx="114">
                  <c:v>2</c:v>
                </c:pt>
                <c:pt idx="115">
                  <c:v>2</c:v>
                </c:pt>
                <c:pt idx="116">
                  <c:v>0</c:v>
                </c:pt>
                <c:pt idx="117">
                  <c:v>2</c:v>
                </c:pt>
                <c:pt idx="118">
                  <c:v>1</c:v>
                </c:pt>
                <c:pt idx="119">
                  <c:v>0</c:v>
                </c:pt>
                <c:pt idx="120">
                  <c:v>2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9">
                  <c:v>3</c:v>
                </c:pt>
                <c:pt idx="130">
                  <c:v>2</c:v>
                </c:pt>
                <c:pt idx="131">
                  <c:v>4</c:v>
                </c:pt>
                <c:pt idx="132">
                  <c:v>1</c:v>
                </c:pt>
                <c:pt idx="133">
                  <c:v>3</c:v>
                </c:pt>
                <c:pt idx="134">
                  <c:v>1</c:v>
                </c:pt>
                <c:pt idx="150">
                  <c:v>1</c:v>
                </c:pt>
                <c:pt idx="151">
                  <c:v>9</c:v>
                </c:pt>
                <c:pt idx="152">
                  <c:v>9</c:v>
                </c:pt>
                <c:pt idx="153">
                  <c:v>3</c:v>
                </c:pt>
                <c:pt idx="154">
                  <c:v>1</c:v>
                </c:pt>
                <c:pt idx="155">
                  <c:v>2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2</c:v>
                </c:pt>
                <c:pt idx="160">
                  <c:v>6</c:v>
                </c:pt>
                <c:pt idx="161">
                  <c:v>4</c:v>
                </c:pt>
                <c:pt idx="162">
                  <c:v>2</c:v>
                </c:pt>
                <c:pt idx="165">
                  <c:v>1</c:v>
                </c:pt>
                <c:pt idx="166">
                  <c:v>1</c:v>
                </c:pt>
                <c:pt idx="167">
                  <c:v>3</c:v>
                </c:pt>
                <c:pt idx="168">
                  <c:v>1</c:v>
                </c:pt>
                <c:pt idx="169">
                  <c:v>1</c:v>
                </c:pt>
                <c:pt idx="170">
                  <c:v>2</c:v>
                </c:pt>
                <c:pt idx="171">
                  <c:v>2</c:v>
                </c:pt>
                <c:pt idx="172">
                  <c:v>3</c:v>
                </c:pt>
                <c:pt idx="173">
                  <c:v>4</c:v>
                </c:pt>
                <c:pt idx="174">
                  <c:v>2</c:v>
                </c:pt>
                <c:pt idx="175">
                  <c:v>1</c:v>
                </c:pt>
                <c:pt idx="176">
                  <c:v>2</c:v>
                </c:pt>
                <c:pt idx="177">
                  <c:v>3</c:v>
                </c:pt>
                <c:pt idx="187">
                  <c:v>2</c:v>
                </c:pt>
                <c:pt idx="188">
                  <c:v>1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25</c:v>
                </c:pt>
                <c:pt idx="194">
                  <c:v>165</c:v>
                </c:pt>
                <c:pt idx="195">
                  <c:v>40</c:v>
                </c:pt>
                <c:pt idx="196">
                  <c:v>241</c:v>
                </c:pt>
                <c:pt idx="197">
                  <c:v>81</c:v>
                </c:pt>
                <c:pt idx="198">
                  <c:v>194</c:v>
                </c:pt>
                <c:pt idx="199">
                  <c:v>277</c:v>
                </c:pt>
                <c:pt idx="200">
                  <c:v>148</c:v>
                </c:pt>
                <c:pt idx="201">
                  <c:v>151</c:v>
                </c:pt>
                <c:pt idx="202">
                  <c:v>199</c:v>
                </c:pt>
                <c:pt idx="203">
                  <c:v>339</c:v>
                </c:pt>
                <c:pt idx="204">
                  <c:v>228</c:v>
                </c:pt>
                <c:pt idx="205">
                  <c:v>393</c:v>
                </c:pt>
                <c:pt idx="206">
                  <c:v>249</c:v>
                </c:pt>
                <c:pt idx="207">
                  <c:v>148</c:v>
                </c:pt>
                <c:pt idx="208">
                  <c:v>129</c:v>
                </c:pt>
                <c:pt idx="209">
                  <c:v>98</c:v>
                </c:pt>
                <c:pt idx="210">
                  <c:v>156</c:v>
                </c:pt>
                <c:pt idx="211">
                  <c:v>64</c:v>
                </c:pt>
                <c:pt idx="212">
                  <c:v>98</c:v>
                </c:pt>
                <c:pt idx="213">
                  <c:v>76</c:v>
                </c:pt>
                <c:pt idx="214">
                  <c:v>63</c:v>
                </c:pt>
                <c:pt idx="215">
                  <c:v>37</c:v>
                </c:pt>
                <c:pt idx="216">
                  <c:v>30</c:v>
                </c:pt>
                <c:pt idx="217">
                  <c:v>22</c:v>
                </c:pt>
                <c:pt idx="218">
                  <c:v>10</c:v>
                </c:pt>
                <c:pt idx="219">
                  <c:v>25</c:v>
                </c:pt>
                <c:pt idx="220">
                  <c:v>11</c:v>
                </c:pt>
                <c:pt idx="221">
                  <c:v>5</c:v>
                </c:pt>
                <c:pt idx="222">
                  <c:v>5</c:v>
                </c:pt>
                <c:pt idx="223">
                  <c:v>4</c:v>
                </c:pt>
                <c:pt idx="224">
                  <c:v>2</c:v>
                </c:pt>
                <c:pt idx="225">
                  <c:v>3</c:v>
                </c:pt>
                <c:pt idx="226">
                  <c:v>1</c:v>
                </c:pt>
                <c:pt idx="227">
                  <c:v>2</c:v>
                </c:pt>
                <c:pt idx="228">
                  <c:v>5</c:v>
                </c:pt>
                <c:pt idx="229">
                  <c:v>6</c:v>
                </c:pt>
                <c:pt idx="230">
                  <c:v>3</c:v>
                </c:pt>
                <c:pt idx="231">
                  <c:v>4</c:v>
                </c:pt>
                <c:pt idx="232">
                  <c:v>4</c:v>
                </c:pt>
                <c:pt idx="233">
                  <c:v>5</c:v>
                </c:pt>
                <c:pt idx="234">
                  <c:v>6</c:v>
                </c:pt>
                <c:pt idx="235">
                  <c:v>8</c:v>
                </c:pt>
                <c:pt idx="236">
                  <c:v>13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14</c:v>
                </c:pt>
                <c:pt idx="241">
                  <c:v>7</c:v>
                </c:pt>
                <c:pt idx="242">
                  <c:v>9</c:v>
                </c:pt>
                <c:pt idx="243">
                  <c:v>8</c:v>
                </c:pt>
                <c:pt idx="244">
                  <c:v>9</c:v>
                </c:pt>
                <c:pt idx="245">
                  <c:v>18</c:v>
                </c:pt>
                <c:pt idx="246">
                  <c:v>17</c:v>
                </c:pt>
                <c:pt idx="247">
                  <c:v>29</c:v>
                </c:pt>
                <c:pt idx="248">
                  <c:v>68</c:v>
                </c:pt>
                <c:pt idx="249">
                  <c:v>70</c:v>
                </c:pt>
                <c:pt idx="250">
                  <c:v>99</c:v>
                </c:pt>
                <c:pt idx="251">
                  <c:v>93</c:v>
                </c:pt>
                <c:pt idx="252">
                  <c:v>63</c:v>
                </c:pt>
                <c:pt idx="253">
                  <c:v>29</c:v>
                </c:pt>
                <c:pt idx="254">
                  <c:v>41</c:v>
                </c:pt>
                <c:pt idx="255">
                  <c:v>58</c:v>
                </c:pt>
                <c:pt idx="256">
                  <c:v>60</c:v>
                </c:pt>
                <c:pt idx="257">
                  <c:v>55</c:v>
                </c:pt>
                <c:pt idx="258">
                  <c:v>49</c:v>
                </c:pt>
                <c:pt idx="259">
                  <c:v>29</c:v>
                </c:pt>
                <c:pt idx="260">
                  <c:v>31</c:v>
                </c:pt>
                <c:pt idx="261">
                  <c:v>7</c:v>
                </c:pt>
                <c:pt idx="262">
                  <c:v>10</c:v>
                </c:pt>
                <c:pt idx="263">
                  <c:v>15</c:v>
                </c:pt>
                <c:pt idx="264">
                  <c:v>8</c:v>
                </c:pt>
                <c:pt idx="265">
                  <c:v>5</c:v>
                </c:pt>
                <c:pt idx="266">
                  <c:v>2</c:v>
                </c:pt>
                <c:pt idx="267">
                  <c:v>1</c:v>
                </c:pt>
                <c:pt idx="268">
                  <c:v>8</c:v>
                </c:pt>
                <c:pt idx="269">
                  <c:v>6</c:v>
                </c:pt>
                <c:pt idx="270">
                  <c:v>8</c:v>
                </c:pt>
                <c:pt idx="271">
                  <c:v>9</c:v>
                </c:pt>
                <c:pt idx="272">
                  <c:v>13</c:v>
                </c:pt>
                <c:pt idx="273">
                  <c:v>10</c:v>
                </c:pt>
                <c:pt idx="274">
                  <c:v>13</c:v>
                </c:pt>
                <c:pt idx="275">
                  <c:v>5</c:v>
                </c:pt>
                <c:pt idx="276">
                  <c:v>4</c:v>
                </c:pt>
                <c:pt idx="277">
                  <c:v>9</c:v>
                </c:pt>
                <c:pt idx="278">
                  <c:v>13</c:v>
                </c:pt>
                <c:pt idx="279">
                  <c:v>13</c:v>
                </c:pt>
                <c:pt idx="280">
                  <c:v>3</c:v>
                </c:pt>
                <c:pt idx="281">
                  <c:v>4</c:v>
                </c:pt>
                <c:pt idx="282">
                  <c:v>5</c:v>
                </c:pt>
                <c:pt idx="283">
                  <c:v>1</c:v>
                </c:pt>
                <c:pt idx="284">
                  <c:v>2</c:v>
                </c:pt>
                <c:pt idx="286">
                  <c:v>1</c:v>
                </c:pt>
                <c:pt idx="287">
                  <c:v>3</c:v>
                </c:pt>
                <c:pt idx="288">
                  <c:v>2</c:v>
                </c:pt>
                <c:pt idx="289">
                  <c:v>11</c:v>
                </c:pt>
                <c:pt idx="290">
                  <c:v>20</c:v>
                </c:pt>
                <c:pt idx="291">
                  <c:v>19</c:v>
                </c:pt>
                <c:pt idx="292">
                  <c:v>25</c:v>
                </c:pt>
                <c:pt idx="293">
                  <c:v>21</c:v>
                </c:pt>
                <c:pt idx="294">
                  <c:v>18</c:v>
                </c:pt>
                <c:pt idx="295">
                  <c:v>10</c:v>
                </c:pt>
                <c:pt idx="296">
                  <c:v>7</c:v>
                </c:pt>
                <c:pt idx="297">
                  <c:v>7</c:v>
                </c:pt>
                <c:pt idx="298">
                  <c:v>8</c:v>
                </c:pt>
                <c:pt idx="299">
                  <c:v>7</c:v>
                </c:pt>
                <c:pt idx="300">
                  <c:v>6</c:v>
                </c:pt>
                <c:pt idx="301">
                  <c:v>3</c:v>
                </c:pt>
                <c:pt idx="302">
                  <c:v>3</c:v>
                </c:pt>
                <c:pt idx="303">
                  <c:v>7</c:v>
                </c:pt>
                <c:pt idx="304">
                  <c:v>5</c:v>
                </c:pt>
                <c:pt idx="305">
                  <c:v>1</c:v>
                </c:pt>
                <c:pt idx="306">
                  <c:v>3</c:v>
                </c:pt>
                <c:pt idx="309">
                  <c:v>3</c:v>
                </c:pt>
                <c:pt idx="310">
                  <c:v>1</c:v>
                </c:pt>
                <c:pt idx="311">
                  <c:v>7</c:v>
                </c:pt>
                <c:pt idx="312">
                  <c:v>6</c:v>
                </c:pt>
                <c:pt idx="313">
                  <c:v>12</c:v>
                </c:pt>
                <c:pt idx="314">
                  <c:v>14</c:v>
                </c:pt>
                <c:pt idx="315">
                  <c:v>9</c:v>
                </c:pt>
                <c:pt idx="316">
                  <c:v>17</c:v>
                </c:pt>
                <c:pt idx="317">
                  <c:v>23</c:v>
                </c:pt>
                <c:pt idx="318">
                  <c:v>35</c:v>
                </c:pt>
                <c:pt idx="319">
                  <c:v>43</c:v>
                </c:pt>
                <c:pt idx="320">
                  <c:v>55</c:v>
                </c:pt>
                <c:pt idx="321">
                  <c:v>72</c:v>
                </c:pt>
                <c:pt idx="322">
                  <c:v>140</c:v>
                </c:pt>
                <c:pt idx="323">
                  <c:v>232</c:v>
                </c:pt>
                <c:pt idx="324">
                  <c:v>234</c:v>
                </c:pt>
                <c:pt idx="325">
                  <c:v>270</c:v>
                </c:pt>
                <c:pt idx="326">
                  <c:v>363</c:v>
                </c:pt>
                <c:pt idx="327">
                  <c:v>260</c:v>
                </c:pt>
                <c:pt idx="328">
                  <c:v>301</c:v>
                </c:pt>
                <c:pt idx="329">
                  <c:v>301</c:v>
                </c:pt>
                <c:pt idx="330">
                  <c:v>396</c:v>
                </c:pt>
                <c:pt idx="331">
                  <c:v>384</c:v>
                </c:pt>
                <c:pt idx="332">
                  <c:v>597</c:v>
                </c:pt>
                <c:pt idx="333">
                  <c:v>755</c:v>
                </c:pt>
                <c:pt idx="334">
                  <c:v>686</c:v>
                </c:pt>
                <c:pt idx="335">
                  <c:v>697</c:v>
                </c:pt>
                <c:pt idx="336">
                  <c:v>402</c:v>
                </c:pt>
                <c:pt idx="337">
                  <c:v>378</c:v>
                </c:pt>
                <c:pt idx="338">
                  <c:v>304</c:v>
                </c:pt>
                <c:pt idx="339">
                  <c:v>317</c:v>
                </c:pt>
                <c:pt idx="340">
                  <c:v>194</c:v>
                </c:pt>
                <c:pt idx="341">
                  <c:v>101</c:v>
                </c:pt>
                <c:pt idx="342">
                  <c:v>102</c:v>
                </c:pt>
                <c:pt idx="343">
                  <c:v>70</c:v>
                </c:pt>
                <c:pt idx="344">
                  <c:v>39</c:v>
                </c:pt>
                <c:pt idx="345">
                  <c:v>40</c:v>
                </c:pt>
                <c:pt idx="34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083-449C-B8A0-4CAED72097A2}"/>
            </c:ext>
          </c:extLst>
        </c:ser>
        <c:ser>
          <c:idx val="9"/>
          <c:order val="9"/>
          <c:tx>
            <c:strRef>
              <c:f>[1]画图1!$K$1</c:f>
              <c:strCache>
                <c:ptCount val="1"/>
                <c:pt idx="0">
                  <c:v>贵州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[1]画图1!$K$2:$K$348</c:f>
              <c:numCache>
                <c:formatCode>General</c:formatCode>
                <c:ptCount val="347"/>
                <c:pt idx="116">
                  <c:v>1</c:v>
                </c:pt>
                <c:pt idx="124">
                  <c:v>2</c:v>
                </c:pt>
                <c:pt idx="125">
                  <c:v>1</c:v>
                </c:pt>
                <c:pt idx="128">
                  <c:v>1</c:v>
                </c:pt>
                <c:pt idx="129">
                  <c:v>2</c:v>
                </c:pt>
                <c:pt idx="130">
                  <c:v>4</c:v>
                </c:pt>
                <c:pt idx="132">
                  <c:v>1</c:v>
                </c:pt>
                <c:pt idx="133">
                  <c:v>4</c:v>
                </c:pt>
                <c:pt idx="134">
                  <c:v>1</c:v>
                </c:pt>
                <c:pt idx="196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20">
                  <c:v>2</c:v>
                </c:pt>
                <c:pt idx="226">
                  <c:v>2</c:v>
                </c:pt>
                <c:pt idx="227">
                  <c:v>1</c:v>
                </c:pt>
                <c:pt idx="228">
                  <c:v>2</c:v>
                </c:pt>
                <c:pt idx="229">
                  <c:v>1</c:v>
                </c:pt>
                <c:pt idx="231">
                  <c:v>1</c:v>
                </c:pt>
                <c:pt idx="232">
                  <c:v>2</c:v>
                </c:pt>
                <c:pt idx="233">
                  <c:v>1</c:v>
                </c:pt>
                <c:pt idx="234">
                  <c:v>2</c:v>
                </c:pt>
                <c:pt idx="235">
                  <c:v>1</c:v>
                </c:pt>
                <c:pt idx="243">
                  <c:v>3</c:v>
                </c:pt>
                <c:pt idx="244">
                  <c:v>10</c:v>
                </c:pt>
                <c:pt idx="245">
                  <c:v>15</c:v>
                </c:pt>
                <c:pt idx="246">
                  <c:v>26</c:v>
                </c:pt>
                <c:pt idx="247">
                  <c:v>3</c:v>
                </c:pt>
                <c:pt idx="248">
                  <c:v>30</c:v>
                </c:pt>
                <c:pt idx="249">
                  <c:v>20</c:v>
                </c:pt>
                <c:pt idx="250">
                  <c:v>18</c:v>
                </c:pt>
                <c:pt idx="251">
                  <c:v>48</c:v>
                </c:pt>
                <c:pt idx="252">
                  <c:v>124</c:v>
                </c:pt>
                <c:pt idx="253">
                  <c:v>137</c:v>
                </c:pt>
                <c:pt idx="254">
                  <c:v>145</c:v>
                </c:pt>
                <c:pt idx="255">
                  <c:v>248</c:v>
                </c:pt>
                <c:pt idx="256">
                  <c:v>307</c:v>
                </c:pt>
                <c:pt idx="257">
                  <c:v>270</c:v>
                </c:pt>
                <c:pt idx="258">
                  <c:v>154</c:v>
                </c:pt>
                <c:pt idx="259">
                  <c:v>706</c:v>
                </c:pt>
                <c:pt idx="260">
                  <c:v>362</c:v>
                </c:pt>
                <c:pt idx="261">
                  <c:v>231</c:v>
                </c:pt>
                <c:pt idx="262">
                  <c:v>179</c:v>
                </c:pt>
                <c:pt idx="263">
                  <c:v>173</c:v>
                </c:pt>
                <c:pt idx="264">
                  <c:v>145</c:v>
                </c:pt>
                <c:pt idx="265">
                  <c:v>98</c:v>
                </c:pt>
                <c:pt idx="266">
                  <c:v>176</c:v>
                </c:pt>
                <c:pt idx="267">
                  <c:v>161</c:v>
                </c:pt>
                <c:pt idx="268">
                  <c:v>124</c:v>
                </c:pt>
                <c:pt idx="269">
                  <c:v>127</c:v>
                </c:pt>
                <c:pt idx="270">
                  <c:v>92</c:v>
                </c:pt>
                <c:pt idx="271">
                  <c:v>96</c:v>
                </c:pt>
                <c:pt idx="272">
                  <c:v>85</c:v>
                </c:pt>
                <c:pt idx="273">
                  <c:v>27</c:v>
                </c:pt>
                <c:pt idx="274">
                  <c:v>32</c:v>
                </c:pt>
                <c:pt idx="275">
                  <c:v>30</c:v>
                </c:pt>
                <c:pt idx="276">
                  <c:v>17</c:v>
                </c:pt>
                <c:pt idx="277">
                  <c:v>12</c:v>
                </c:pt>
                <c:pt idx="278">
                  <c:v>14</c:v>
                </c:pt>
                <c:pt idx="279">
                  <c:v>8</c:v>
                </c:pt>
                <c:pt idx="280">
                  <c:v>17</c:v>
                </c:pt>
                <c:pt idx="281">
                  <c:v>8</c:v>
                </c:pt>
                <c:pt idx="282">
                  <c:v>7</c:v>
                </c:pt>
                <c:pt idx="283">
                  <c:v>2</c:v>
                </c:pt>
                <c:pt idx="284">
                  <c:v>2</c:v>
                </c:pt>
                <c:pt idx="286">
                  <c:v>7</c:v>
                </c:pt>
                <c:pt idx="287">
                  <c:v>9</c:v>
                </c:pt>
                <c:pt idx="288">
                  <c:v>8</c:v>
                </c:pt>
                <c:pt idx="289">
                  <c:v>6</c:v>
                </c:pt>
                <c:pt idx="290">
                  <c:v>8</c:v>
                </c:pt>
                <c:pt idx="291">
                  <c:v>4</c:v>
                </c:pt>
                <c:pt idx="292">
                  <c:v>5</c:v>
                </c:pt>
                <c:pt idx="293">
                  <c:v>1</c:v>
                </c:pt>
                <c:pt idx="294">
                  <c:v>1</c:v>
                </c:pt>
                <c:pt idx="295">
                  <c:v>2</c:v>
                </c:pt>
                <c:pt idx="296">
                  <c:v>1</c:v>
                </c:pt>
                <c:pt idx="300">
                  <c:v>1</c:v>
                </c:pt>
                <c:pt idx="303">
                  <c:v>3</c:v>
                </c:pt>
                <c:pt idx="305">
                  <c:v>1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10">
                  <c:v>11</c:v>
                </c:pt>
                <c:pt idx="311">
                  <c:v>11</c:v>
                </c:pt>
                <c:pt idx="312">
                  <c:v>8</c:v>
                </c:pt>
                <c:pt idx="313">
                  <c:v>8</c:v>
                </c:pt>
                <c:pt idx="314">
                  <c:v>14</c:v>
                </c:pt>
                <c:pt idx="315">
                  <c:v>13</c:v>
                </c:pt>
                <c:pt idx="316">
                  <c:v>28</c:v>
                </c:pt>
                <c:pt idx="317">
                  <c:v>49</c:v>
                </c:pt>
                <c:pt idx="318">
                  <c:v>36</c:v>
                </c:pt>
                <c:pt idx="319">
                  <c:v>54</c:v>
                </c:pt>
                <c:pt idx="320">
                  <c:v>37</c:v>
                </c:pt>
                <c:pt idx="321">
                  <c:v>48</c:v>
                </c:pt>
                <c:pt idx="322">
                  <c:v>66</c:v>
                </c:pt>
                <c:pt idx="323">
                  <c:v>66</c:v>
                </c:pt>
                <c:pt idx="324">
                  <c:v>88</c:v>
                </c:pt>
                <c:pt idx="325">
                  <c:v>141</c:v>
                </c:pt>
                <c:pt idx="326">
                  <c:v>154</c:v>
                </c:pt>
                <c:pt idx="327">
                  <c:v>150</c:v>
                </c:pt>
                <c:pt idx="328">
                  <c:v>131</c:v>
                </c:pt>
                <c:pt idx="329">
                  <c:v>140</c:v>
                </c:pt>
                <c:pt idx="330">
                  <c:v>95</c:v>
                </c:pt>
                <c:pt idx="331">
                  <c:v>134</c:v>
                </c:pt>
                <c:pt idx="332">
                  <c:v>186</c:v>
                </c:pt>
                <c:pt idx="333">
                  <c:v>165</c:v>
                </c:pt>
                <c:pt idx="334">
                  <c:v>251</c:v>
                </c:pt>
                <c:pt idx="335">
                  <c:v>283</c:v>
                </c:pt>
                <c:pt idx="336">
                  <c:v>249</c:v>
                </c:pt>
                <c:pt idx="337">
                  <c:v>237</c:v>
                </c:pt>
                <c:pt idx="338">
                  <c:v>380</c:v>
                </c:pt>
                <c:pt idx="339">
                  <c:v>563</c:v>
                </c:pt>
                <c:pt idx="340">
                  <c:v>685</c:v>
                </c:pt>
                <c:pt idx="341">
                  <c:v>350</c:v>
                </c:pt>
                <c:pt idx="342">
                  <c:v>72</c:v>
                </c:pt>
                <c:pt idx="343">
                  <c:v>13</c:v>
                </c:pt>
                <c:pt idx="344">
                  <c:v>5</c:v>
                </c:pt>
                <c:pt idx="345">
                  <c:v>1</c:v>
                </c:pt>
                <c:pt idx="34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083-449C-B8A0-4CAED72097A2}"/>
            </c:ext>
          </c:extLst>
        </c:ser>
        <c:ser>
          <c:idx val="10"/>
          <c:order val="10"/>
          <c:tx>
            <c:strRef>
              <c:f>[1]画图1!$L$1</c:f>
              <c:strCache>
                <c:ptCount val="1"/>
                <c:pt idx="0">
                  <c:v>甘肃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[1]画图1!$L$2:$L$348</c:f>
              <c:numCache>
                <c:formatCode>General</c:formatCode>
                <c:ptCount val="347"/>
                <c:pt idx="64">
                  <c:v>12</c:v>
                </c:pt>
                <c:pt idx="65">
                  <c:v>11</c:v>
                </c:pt>
                <c:pt idx="66">
                  <c:v>1</c:v>
                </c:pt>
                <c:pt idx="67">
                  <c:v>77</c:v>
                </c:pt>
                <c:pt idx="68">
                  <c:v>28</c:v>
                </c:pt>
                <c:pt idx="69">
                  <c:v>43</c:v>
                </c:pt>
                <c:pt idx="70">
                  <c:v>41</c:v>
                </c:pt>
                <c:pt idx="71">
                  <c:v>27</c:v>
                </c:pt>
                <c:pt idx="72">
                  <c:v>25</c:v>
                </c:pt>
                <c:pt idx="73">
                  <c:v>20</c:v>
                </c:pt>
                <c:pt idx="74">
                  <c:v>20</c:v>
                </c:pt>
                <c:pt idx="75">
                  <c:v>25</c:v>
                </c:pt>
                <c:pt idx="76">
                  <c:v>23</c:v>
                </c:pt>
                <c:pt idx="77">
                  <c:v>44</c:v>
                </c:pt>
                <c:pt idx="78">
                  <c:v>32</c:v>
                </c:pt>
                <c:pt idx="79">
                  <c:v>33</c:v>
                </c:pt>
                <c:pt idx="80">
                  <c:v>43</c:v>
                </c:pt>
                <c:pt idx="81">
                  <c:v>29</c:v>
                </c:pt>
                <c:pt idx="82">
                  <c:v>33</c:v>
                </c:pt>
                <c:pt idx="83">
                  <c:v>40</c:v>
                </c:pt>
                <c:pt idx="84">
                  <c:v>15</c:v>
                </c:pt>
                <c:pt idx="85">
                  <c:v>12</c:v>
                </c:pt>
                <c:pt idx="86">
                  <c:v>11</c:v>
                </c:pt>
                <c:pt idx="87">
                  <c:v>10</c:v>
                </c:pt>
                <c:pt idx="88">
                  <c:v>8</c:v>
                </c:pt>
                <c:pt idx="89">
                  <c:v>9</c:v>
                </c:pt>
                <c:pt idx="90">
                  <c:v>9</c:v>
                </c:pt>
                <c:pt idx="91">
                  <c:v>7</c:v>
                </c:pt>
                <c:pt idx="92">
                  <c:v>3</c:v>
                </c:pt>
                <c:pt idx="93">
                  <c:v>4</c:v>
                </c:pt>
                <c:pt idx="94">
                  <c:v>1</c:v>
                </c:pt>
                <c:pt idx="107">
                  <c:v>1</c:v>
                </c:pt>
                <c:pt idx="111">
                  <c:v>2</c:v>
                </c:pt>
                <c:pt idx="160">
                  <c:v>1</c:v>
                </c:pt>
                <c:pt idx="188">
                  <c:v>5</c:v>
                </c:pt>
                <c:pt idx="189">
                  <c:v>13</c:v>
                </c:pt>
                <c:pt idx="190">
                  <c:v>27</c:v>
                </c:pt>
                <c:pt idx="191">
                  <c:v>19</c:v>
                </c:pt>
                <c:pt idx="192">
                  <c:v>69</c:v>
                </c:pt>
                <c:pt idx="193">
                  <c:v>89</c:v>
                </c:pt>
                <c:pt idx="194">
                  <c:v>66</c:v>
                </c:pt>
                <c:pt idx="195">
                  <c:v>112</c:v>
                </c:pt>
                <c:pt idx="196">
                  <c:v>157</c:v>
                </c:pt>
                <c:pt idx="197">
                  <c:v>202</c:v>
                </c:pt>
                <c:pt idx="198">
                  <c:v>231</c:v>
                </c:pt>
                <c:pt idx="199">
                  <c:v>331</c:v>
                </c:pt>
                <c:pt idx="200">
                  <c:v>334</c:v>
                </c:pt>
                <c:pt idx="201">
                  <c:v>556</c:v>
                </c:pt>
                <c:pt idx="202">
                  <c:v>353</c:v>
                </c:pt>
                <c:pt idx="203">
                  <c:v>344</c:v>
                </c:pt>
                <c:pt idx="204">
                  <c:v>294</c:v>
                </c:pt>
                <c:pt idx="205">
                  <c:v>326</c:v>
                </c:pt>
                <c:pt idx="206">
                  <c:v>222</c:v>
                </c:pt>
                <c:pt idx="207">
                  <c:v>212</c:v>
                </c:pt>
                <c:pt idx="208">
                  <c:v>119</c:v>
                </c:pt>
                <c:pt idx="209">
                  <c:v>92</c:v>
                </c:pt>
                <c:pt idx="210">
                  <c:v>110</c:v>
                </c:pt>
                <c:pt idx="211">
                  <c:v>70</c:v>
                </c:pt>
                <c:pt idx="212">
                  <c:v>71</c:v>
                </c:pt>
                <c:pt idx="213">
                  <c:v>37</c:v>
                </c:pt>
                <c:pt idx="214">
                  <c:v>11</c:v>
                </c:pt>
                <c:pt idx="215">
                  <c:v>10</c:v>
                </c:pt>
                <c:pt idx="216">
                  <c:v>2</c:v>
                </c:pt>
                <c:pt idx="217">
                  <c:v>7</c:v>
                </c:pt>
                <c:pt idx="218">
                  <c:v>3</c:v>
                </c:pt>
                <c:pt idx="219">
                  <c:v>2</c:v>
                </c:pt>
                <c:pt idx="220">
                  <c:v>1</c:v>
                </c:pt>
                <c:pt idx="221">
                  <c:v>7</c:v>
                </c:pt>
                <c:pt idx="222">
                  <c:v>1</c:v>
                </c:pt>
                <c:pt idx="223">
                  <c:v>5</c:v>
                </c:pt>
                <c:pt idx="224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3</c:v>
                </c:pt>
                <c:pt idx="229">
                  <c:v>6</c:v>
                </c:pt>
                <c:pt idx="230">
                  <c:v>5</c:v>
                </c:pt>
                <c:pt idx="231">
                  <c:v>16</c:v>
                </c:pt>
                <c:pt idx="232">
                  <c:v>11</c:v>
                </c:pt>
                <c:pt idx="233">
                  <c:v>23</c:v>
                </c:pt>
                <c:pt idx="234">
                  <c:v>6</c:v>
                </c:pt>
                <c:pt idx="235">
                  <c:v>2</c:v>
                </c:pt>
                <c:pt idx="236">
                  <c:v>8</c:v>
                </c:pt>
                <c:pt idx="237">
                  <c:v>41</c:v>
                </c:pt>
                <c:pt idx="238">
                  <c:v>21</c:v>
                </c:pt>
                <c:pt idx="239">
                  <c:v>30</c:v>
                </c:pt>
                <c:pt idx="240">
                  <c:v>37</c:v>
                </c:pt>
                <c:pt idx="241">
                  <c:v>42</c:v>
                </c:pt>
                <c:pt idx="242">
                  <c:v>57</c:v>
                </c:pt>
                <c:pt idx="243">
                  <c:v>42</c:v>
                </c:pt>
                <c:pt idx="244">
                  <c:v>24</c:v>
                </c:pt>
                <c:pt idx="245">
                  <c:v>16</c:v>
                </c:pt>
                <c:pt idx="246">
                  <c:v>12</c:v>
                </c:pt>
                <c:pt idx="247">
                  <c:v>10</c:v>
                </c:pt>
                <c:pt idx="248">
                  <c:v>6</c:v>
                </c:pt>
                <c:pt idx="249">
                  <c:v>5</c:v>
                </c:pt>
                <c:pt idx="250">
                  <c:v>3</c:v>
                </c:pt>
                <c:pt idx="251">
                  <c:v>15</c:v>
                </c:pt>
                <c:pt idx="252">
                  <c:v>12</c:v>
                </c:pt>
                <c:pt idx="253">
                  <c:v>17</c:v>
                </c:pt>
                <c:pt idx="254">
                  <c:v>24</c:v>
                </c:pt>
                <c:pt idx="255">
                  <c:v>13</c:v>
                </c:pt>
                <c:pt idx="256">
                  <c:v>15</c:v>
                </c:pt>
                <c:pt idx="257">
                  <c:v>23</c:v>
                </c:pt>
                <c:pt idx="258">
                  <c:v>14</c:v>
                </c:pt>
                <c:pt idx="259">
                  <c:v>9</c:v>
                </c:pt>
                <c:pt idx="260">
                  <c:v>3</c:v>
                </c:pt>
                <c:pt idx="261">
                  <c:v>2</c:v>
                </c:pt>
                <c:pt idx="262">
                  <c:v>5</c:v>
                </c:pt>
                <c:pt idx="263">
                  <c:v>3</c:v>
                </c:pt>
                <c:pt idx="264">
                  <c:v>1</c:v>
                </c:pt>
                <c:pt idx="265">
                  <c:v>3</c:v>
                </c:pt>
                <c:pt idx="266">
                  <c:v>2</c:v>
                </c:pt>
                <c:pt idx="268">
                  <c:v>3</c:v>
                </c:pt>
                <c:pt idx="269">
                  <c:v>1</c:v>
                </c:pt>
                <c:pt idx="270">
                  <c:v>1</c:v>
                </c:pt>
                <c:pt idx="271">
                  <c:v>7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14</c:v>
                </c:pt>
                <c:pt idx="276">
                  <c:v>13</c:v>
                </c:pt>
                <c:pt idx="277">
                  <c:v>10</c:v>
                </c:pt>
                <c:pt idx="278">
                  <c:v>15</c:v>
                </c:pt>
                <c:pt idx="279">
                  <c:v>52</c:v>
                </c:pt>
                <c:pt idx="280">
                  <c:v>61</c:v>
                </c:pt>
                <c:pt idx="281">
                  <c:v>68</c:v>
                </c:pt>
                <c:pt idx="282">
                  <c:v>55</c:v>
                </c:pt>
                <c:pt idx="283">
                  <c:v>40</c:v>
                </c:pt>
                <c:pt idx="284">
                  <c:v>25</c:v>
                </c:pt>
                <c:pt idx="285">
                  <c:v>7</c:v>
                </c:pt>
                <c:pt idx="286">
                  <c:v>3</c:v>
                </c:pt>
                <c:pt idx="287">
                  <c:v>5</c:v>
                </c:pt>
                <c:pt idx="288">
                  <c:v>2</c:v>
                </c:pt>
                <c:pt idx="289">
                  <c:v>11</c:v>
                </c:pt>
                <c:pt idx="290">
                  <c:v>2</c:v>
                </c:pt>
                <c:pt idx="291">
                  <c:v>15</c:v>
                </c:pt>
                <c:pt idx="292">
                  <c:v>16</c:v>
                </c:pt>
                <c:pt idx="293">
                  <c:v>8</c:v>
                </c:pt>
                <c:pt idx="294">
                  <c:v>5</c:v>
                </c:pt>
                <c:pt idx="295">
                  <c:v>8</c:v>
                </c:pt>
                <c:pt idx="296">
                  <c:v>12</c:v>
                </c:pt>
                <c:pt idx="297">
                  <c:v>14</c:v>
                </c:pt>
                <c:pt idx="298">
                  <c:v>24</c:v>
                </c:pt>
                <c:pt idx="299">
                  <c:v>14</c:v>
                </c:pt>
                <c:pt idx="300">
                  <c:v>38</c:v>
                </c:pt>
                <c:pt idx="301">
                  <c:v>48</c:v>
                </c:pt>
                <c:pt idx="302">
                  <c:v>33</c:v>
                </c:pt>
                <c:pt idx="303">
                  <c:v>31</c:v>
                </c:pt>
                <c:pt idx="304">
                  <c:v>58</c:v>
                </c:pt>
                <c:pt idx="305">
                  <c:v>59</c:v>
                </c:pt>
                <c:pt idx="306">
                  <c:v>73</c:v>
                </c:pt>
                <c:pt idx="307">
                  <c:v>65</c:v>
                </c:pt>
                <c:pt idx="308">
                  <c:v>60</c:v>
                </c:pt>
                <c:pt idx="309">
                  <c:v>53</c:v>
                </c:pt>
                <c:pt idx="310">
                  <c:v>74</c:v>
                </c:pt>
                <c:pt idx="311">
                  <c:v>137</c:v>
                </c:pt>
                <c:pt idx="312">
                  <c:v>241</c:v>
                </c:pt>
                <c:pt idx="313">
                  <c:v>224</c:v>
                </c:pt>
                <c:pt idx="314">
                  <c:v>368</c:v>
                </c:pt>
                <c:pt idx="315">
                  <c:v>601</c:v>
                </c:pt>
                <c:pt idx="316">
                  <c:v>517</c:v>
                </c:pt>
                <c:pt idx="317">
                  <c:v>819</c:v>
                </c:pt>
                <c:pt idx="318">
                  <c:v>2688</c:v>
                </c:pt>
                <c:pt idx="319">
                  <c:v>1545</c:v>
                </c:pt>
                <c:pt idx="320">
                  <c:v>1568</c:v>
                </c:pt>
                <c:pt idx="321">
                  <c:v>1142</c:v>
                </c:pt>
                <c:pt idx="322">
                  <c:v>817</c:v>
                </c:pt>
                <c:pt idx="323">
                  <c:v>1173</c:v>
                </c:pt>
                <c:pt idx="324">
                  <c:v>983</c:v>
                </c:pt>
                <c:pt idx="325">
                  <c:v>937</c:v>
                </c:pt>
                <c:pt idx="326">
                  <c:v>860</c:v>
                </c:pt>
                <c:pt idx="327">
                  <c:v>870</c:v>
                </c:pt>
                <c:pt idx="328">
                  <c:v>712</c:v>
                </c:pt>
                <c:pt idx="329">
                  <c:v>689</c:v>
                </c:pt>
                <c:pt idx="330">
                  <c:v>637</c:v>
                </c:pt>
                <c:pt idx="331">
                  <c:v>609</c:v>
                </c:pt>
                <c:pt idx="332">
                  <c:v>534</c:v>
                </c:pt>
                <c:pt idx="333">
                  <c:v>471</c:v>
                </c:pt>
                <c:pt idx="334">
                  <c:v>396</c:v>
                </c:pt>
                <c:pt idx="335">
                  <c:v>332</c:v>
                </c:pt>
                <c:pt idx="336">
                  <c:v>282</c:v>
                </c:pt>
                <c:pt idx="337">
                  <c:v>232</c:v>
                </c:pt>
                <c:pt idx="338">
                  <c:v>193</c:v>
                </c:pt>
                <c:pt idx="339">
                  <c:v>147</c:v>
                </c:pt>
                <c:pt idx="340">
                  <c:v>112</c:v>
                </c:pt>
                <c:pt idx="341">
                  <c:v>92</c:v>
                </c:pt>
                <c:pt idx="342">
                  <c:v>56</c:v>
                </c:pt>
                <c:pt idx="343">
                  <c:v>25</c:v>
                </c:pt>
                <c:pt idx="344">
                  <c:v>31</c:v>
                </c:pt>
                <c:pt idx="34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083-449C-B8A0-4CAED72097A2}"/>
            </c:ext>
          </c:extLst>
        </c:ser>
        <c:ser>
          <c:idx val="11"/>
          <c:order val="11"/>
          <c:tx>
            <c:strRef>
              <c:f>[1]画图1!$M$1</c:f>
              <c:strCache>
                <c:ptCount val="1"/>
                <c:pt idx="0">
                  <c:v>海南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[1]画图1!$M$2:$M$348</c:f>
              <c:numCache>
                <c:formatCode>General</c:formatCode>
                <c:ptCount val="347"/>
                <c:pt idx="87">
                  <c:v>2</c:v>
                </c:pt>
                <c:pt idx="88">
                  <c:v>4</c:v>
                </c:pt>
                <c:pt idx="89">
                  <c:v>4</c:v>
                </c:pt>
                <c:pt idx="90">
                  <c:v>13</c:v>
                </c:pt>
                <c:pt idx="91">
                  <c:v>9</c:v>
                </c:pt>
                <c:pt idx="92">
                  <c:v>26</c:v>
                </c:pt>
                <c:pt idx="93">
                  <c:v>2</c:v>
                </c:pt>
                <c:pt idx="94">
                  <c:v>31</c:v>
                </c:pt>
                <c:pt idx="95">
                  <c:v>11</c:v>
                </c:pt>
                <c:pt idx="96">
                  <c:v>5</c:v>
                </c:pt>
                <c:pt idx="97">
                  <c:v>3</c:v>
                </c:pt>
                <c:pt idx="98">
                  <c:v>5</c:v>
                </c:pt>
                <c:pt idx="99">
                  <c:v>5</c:v>
                </c:pt>
                <c:pt idx="100">
                  <c:v>3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10">
                  <c:v>3</c:v>
                </c:pt>
                <c:pt idx="187">
                  <c:v>2</c:v>
                </c:pt>
                <c:pt idx="189">
                  <c:v>7</c:v>
                </c:pt>
                <c:pt idx="190">
                  <c:v>3</c:v>
                </c:pt>
                <c:pt idx="191">
                  <c:v>16</c:v>
                </c:pt>
                <c:pt idx="192">
                  <c:v>9</c:v>
                </c:pt>
                <c:pt idx="193">
                  <c:v>6</c:v>
                </c:pt>
                <c:pt idx="194">
                  <c:v>3</c:v>
                </c:pt>
                <c:pt idx="195">
                  <c:v>2</c:v>
                </c:pt>
                <c:pt idx="197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11</c:v>
                </c:pt>
                <c:pt idx="260">
                  <c:v>12</c:v>
                </c:pt>
                <c:pt idx="261">
                  <c:v>5</c:v>
                </c:pt>
                <c:pt idx="262">
                  <c:v>2</c:v>
                </c:pt>
                <c:pt idx="265">
                  <c:v>1</c:v>
                </c:pt>
                <c:pt idx="267">
                  <c:v>1</c:v>
                </c:pt>
                <c:pt idx="275">
                  <c:v>2</c:v>
                </c:pt>
                <c:pt idx="277">
                  <c:v>2</c:v>
                </c:pt>
                <c:pt idx="278">
                  <c:v>9</c:v>
                </c:pt>
                <c:pt idx="279">
                  <c:v>3</c:v>
                </c:pt>
                <c:pt idx="280">
                  <c:v>8</c:v>
                </c:pt>
                <c:pt idx="281">
                  <c:v>3</c:v>
                </c:pt>
                <c:pt idx="283">
                  <c:v>2</c:v>
                </c:pt>
                <c:pt idx="284">
                  <c:v>1</c:v>
                </c:pt>
                <c:pt idx="287">
                  <c:v>1</c:v>
                </c:pt>
                <c:pt idx="310">
                  <c:v>2</c:v>
                </c:pt>
                <c:pt idx="311">
                  <c:v>2</c:v>
                </c:pt>
                <c:pt idx="313">
                  <c:v>2</c:v>
                </c:pt>
                <c:pt idx="314">
                  <c:v>1</c:v>
                </c:pt>
                <c:pt idx="315">
                  <c:v>1</c:v>
                </c:pt>
                <c:pt idx="316">
                  <c:v>3</c:v>
                </c:pt>
                <c:pt idx="317">
                  <c:v>2</c:v>
                </c:pt>
                <c:pt idx="318">
                  <c:v>10</c:v>
                </c:pt>
                <c:pt idx="319">
                  <c:v>5</c:v>
                </c:pt>
                <c:pt idx="320">
                  <c:v>9</c:v>
                </c:pt>
                <c:pt idx="321">
                  <c:v>10</c:v>
                </c:pt>
                <c:pt idx="322">
                  <c:v>6</c:v>
                </c:pt>
                <c:pt idx="323">
                  <c:v>14</c:v>
                </c:pt>
                <c:pt idx="324">
                  <c:v>24</c:v>
                </c:pt>
                <c:pt idx="325">
                  <c:v>18</c:v>
                </c:pt>
                <c:pt idx="326">
                  <c:v>29</c:v>
                </c:pt>
                <c:pt idx="327">
                  <c:v>32</c:v>
                </c:pt>
                <c:pt idx="328">
                  <c:v>37</c:v>
                </c:pt>
                <c:pt idx="329">
                  <c:v>42</c:v>
                </c:pt>
                <c:pt idx="330">
                  <c:v>45</c:v>
                </c:pt>
                <c:pt idx="331">
                  <c:v>51</c:v>
                </c:pt>
                <c:pt idx="332">
                  <c:v>45</c:v>
                </c:pt>
                <c:pt idx="333">
                  <c:v>91</c:v>
                </c:pt>
                <c:pt idx="334">
                  <c:v>101</c:v>
                </c:pt>
                <c:pt idx="335">
                  <c:v>136</c:v>
                </c:pt>
                <c:pt idx="336">
                  <c:v>149</c:v>
                </c:pt>
                <c:pt idx="337">
                  <c:v>231</c:v>
                </c:pt>
                <c:pt idx="338">
                  <c:v>211</c:v>
                </c:pt>
                <c:pt idx="339">
                  <c:v>253</c:v>
                </c:pt>
                <c:pt idx="340">
                  <c:v>290</c:v>
                </c:pt>
                <c:pt idx="341">
                  <c:v>221</c:v>
                </c:pt>
                <c:pt idx="342">
                  <c:v>221</c:v>
                </c:pt>
                <c:pt idx="343">
                  <c:v>286</c:v>
                </c:pt>
                <c:pt idx="344">
                  <c:v>323</c:v>
                </c:pt>
                <c:pt idx="345">
                  <c:v>250</c:v>
                </c:pt>
                <c:pt idx="346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083-449C-B8A0-4CAED72097A2}"/>
            </c:ext>
          </c:extLst>
        </c:ser>
        <c:ser>
          <c:idx val="12"/>
          <c:order val="12"/>
          <c:tx>
            <c:strRef>
              <c:f>[1]画图1!$N$1</c:f>
              <c:strCache>
                <c:ptCount val="1"/>
                <c:pt idx="0">
                  <c:v>河南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[1]画图1!$N$2:$N$348</c:f>
              <c:numCache>
                <c:formatCode>General</c:formatCode>
                <c:ptCount val="347"/>
                <c:pt idx="0">
                  <c:v>5</c:v>
                </c:pt>
                <c:pt idx="1">
                  <c:v>3</c:v>
                </c:pt>
                <c:pt idx="2">
                  <c:v>24</c:v>
                </c:pt>
                <c:pt idx="3">
                  <c:v>22</c:v>
                </c:pt>
                <c:pt idx="4">
                  <c:v>73</c:v>
                </c:pt>
                <c:pt idx="5">
                  <c:v>56</c:v>
                </c:pt>
                <c:pt idx="6">
                  <c:v>44</c:v>
                </c:pt>
                <c:pt idx="7">
                  <c:v>56</c:v>
                </c:pt>
                <c:pt idx="8">
                  <c:v>60</c:v>
                </c:pt>
                <c:pt idx="9">
                  <c:v>87</c:v>
                </c:pt>
                <c:pt idx="10">
                  <c:v>118</c:v>
                </c:pt>
                <c:pt idx="11">
                  <c:v>76</c:v>
                </c:pt>
                <c:pt idx="12">
                  <c:v>98</c:v>
                </c:pt>
                <c:pt idx="13">
                  <c:v>52</c:v>
                </c:pt>
                <c:pt idx="14">
                  <c:v>29</c:v>
                </c:pt>
                <c:pt idx="15">
                  <c:v>68</c:v>
                </c:pt>
                <c:pt idx="16">
                  <c:v>102</c:v>
                </c:pt>
                <c:pt idx="17">
                  <c:v>33</c:v>
                </c:pt>
                <c:pt idx="18">
                  <c:v>24</c:v>
                </c:pt>
                <c:pt idx="19">
                  <c:v>3</c:v>
                </c:pt>
                <c:pt idx="20">
                  <c:v>4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  <c:pt idx="25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5</c:v>
                </c:pt>
                <c:pt idx="77">
                  <c:v>2</c:v>
                </c:pt>
                <c:pt idx="78">
                  <c:v>10</c:v>
                </c:pt>
                <c:pt idx="79">
                  <c:v>6</c:v>
                </c:pt>
                <c:pt idx="80">
                  <c:v>11</c:v>
                </c:pt>
                <c:pt idx="81">
                  <c:v>11</c:v>
                </c:pt>
                <c:pt idx="82">
                  <c:v>21</c:v>
                </c:pt>
                <c:pt idx="83">
                  <c:v>10</c:v>
                </c:pt>
                <c:pt idx="84">
                  <c:v>24</c:v>
                </c:pt>
                <c:pt idx="85">
                  <c:v>14</c:v>
                </c:pt>
                <c:pt idx="86">
                  <c:v>11</c:v>
                </c:pt>
                <c:pt idx="87">
                  <c:v>36</c:v>
                </c:pt>
                <c:pt idx="88">
                  <c:v>34</c:v>
                </c:pt>
                <c:pt idx="89">
                  <c:v>20</c:v>
                </c:pt>
                <c:pt idx="90">
                  <c:v>18</c:v>
                </c:pt>
                <c:pt idx="91">
                  <c:v>20</c:v>
                </c:pt>
                <c:pt idx="92">
                  <c:v>22</c:v>
                </c:pt>
                <c:pt idx="93">
                  <c:v>31</c:v>
                </c:pt>
                <c:pt idx="94">
                  <c:v>33</c:v>
                </c:pt>
                <c:pt idx="95">
                  <c:v>36</c:v>
                </c:pt>
                <c:pt idx="96">
                  <c:v>19</c:v>
                </c:pt>
                <c:pt idx="97">
                  <c:v>18</c:v>
                </c:pt>
                <c:pt idx="98">
                  <c:v>5</c:v>
                </c:pt>
                <c:pt idx="99">
                  <c:v>4</c:v>
                </c:pt>
                <c:pt idx="100">
                  <c:v>14</c:v>
                </c:pt>
                <c:pt idx="101">
                  <c:v>14</c:v>
                </c:pt>
                <c:pt idx="102">
                  <c:v>46</c:v>
                </c:pt>
                <c:pt idx="103">
                  <c:v>26</c:v>
                </c:pt>
                <c:pt idx="104">
                  <c:v>24</c:v>
                </c:pt>
                <c:pt idx="105">
                  <c:v>21</c:v>
                </c:pt>
                <c:pt idx="106">
                  <c:v>10</c:v>
                </c:pt>
                <c:pt idx="107">
                  <c:v>24</c:v>
                </c:pt>
                <c:pt idx="108">
                  <c:v>16</c:v>
                </c:pt>
                <c:pt idx="109">
                  <c:v>26</c:v>
                </c:pt>
                <c:pt idx="110">
                  <c:v>17</c:v>
                </c:pt>
                <c:pt idx="111">
                  <c:v>41</c:v>
                </c:pt>
                <c:pt idx="112">
                  <c:v>32</c:v>
                </c:pt>
                <c:pt idx="113">
                  <c:v>23</c:v>
                </c:pt>
                <c:pt idx="114">
                  <c:v>17</c:v>
                </c:pt>
                <c:pt idx="115">
                  <c:v>17</c:v>
                </c:pt>
                <c:pt idx="116">
                  <c:v>17</c:v>
                </c:pt>
                <c:pt idx="117">
                  <c:v>6</c:v>
                </c:pt>
                <c:pt idx="118">
                  <c:v>5</c:v>
                </c:pt>
                <c:pt idx="119">
                  <c:v>9</c:v>
                </c:pt>
                <c:pt idx="120">
                  <c:v>5</c:v>
                </c:pt>
                <c:pt idx="121">
                  <c:v>6</c:v>
                </c:pt>
                <c:pt idx="122">
                  <c:v>44</c:v>
                </c:pt>
                <c:pt idx="123">
                  <c:v>40</c:v>
                </c:pt>
                <c:pt idx="124">
                  <c:v>79</c:v>
                </c:pt>
                <c:pt idx="125">
                  <c:v>98</c:v>
                </c:pt>
                <c:pt idx="126">
                  <c:v>101</c:v>
                </c:pt>
                <c:pt idx="127">
                  <c:v>60</c:v>
                </c:pt>
                <c:pt idx="128">
                  <c:v>116</c:v>
                </c:pt>
                <c:pt idx="129">
                  <c:v>88</c:v>
                </c:pt>
                <c:pt idx="130">
                  <c:v>98</c:v>
                </c:pt>
                <c:pt idx="131">
                  <c:v>43</c:v>
                </c:pt>
                <c:pt idx="132">
                  <c:v>47</c:v>
                </c:pt>
                <c:pt idx="133">
                  <c:v>29</c:v>
                </c:pt>
                <c:pt idx="134">
                  <c:v>21</c:v>
                </c:pt>
                <c:pt idx="135">
                  <c:v>33</c:v>
                </c:pt>
                <c:pt idx="136">
                  <c:v>10</c:v>
                </c:pt>
                <c:pt idx="137">
                  <c:v>20</c:v>
                </c:pt>
                <c:pt idx="138">
                  <c:v>28</c:v>
                </c:pt>
                <c:pt idx="139">
                  <c:v>39</c:v>
                </c:pt>
                <c:pt idx="140">
                  <c:v>18</c:v>
                </c:pt>
                <c:pt idx="141">
                  <c:v>53</c:v>
                </c:pt>
                <c:pt idx="142">
                  <c:v>23</c:v>
                </c:pt>
                <c:pt idx="143">
                  <c:v>29</c:v>
                </c:pt>
                <c:pt idx="144">
                  <c:v>12</c:v>
                </c:pt>
                <c:pt idx="145">
                  <c:v>8</c:v>
                </c:pt>
                <c:pt idx="146">
                  <c:v>9</c:v>
                </c:pt>
                <c:pt idx="147">
                  <c:v>9</c:v>
                </c:pt>
                <c:pt idx="148">
                  <c:v>2</c:v>
                </c:pt>
                <c:pt idx="149">
                  <c:v>0</c:v>
                </c:pt>
                <c:pt idx="150">
                  <c:v>2</c:v>
                </c:pt>
                <c:pt idx="151">
                  <c:v>3</c:v>
                </c:pt>
                <c:pt idx="152">
                  <c:v>2</c:v>
                </c:pt>
                <c:pt idx="153">
                  <c:v>3</c:v>
                </c:pt>
                <c:pt idx="158">
                  <c:v>1</c:v>
                </c:pt>
                <c:pt idx="189">
                  <c:v>4</c:v>
                </c:pt>
                <c:pt idx="190">
                  <c:v>12</c:v>
                </c:pt>
                <c:pt idx="191">
                  <c:v>73</c:v>
                </c:pt>
                <c:pt idx="192">
                  <c:v>25</c:v>
                </c:pt>
                <c:pt idx="193">
                  <c:v>29</c:v>
                </c:pt>
                <c:pt idx="194">
                  <c:v>52</c:v>
                </c:pt>
                <c:pt idx="195">
                  <c:v>39</c:v>
                </c:pt>
                <c:pt idx="196">
                  <c:v>29</c:v>
                </c:pt>
                <c:pt idx="197">
                  <c:v>39</c:v>
                </c:pt>
                <c:pt idx="198">
                  <c:v>45</c:v>
                </c:pt>
                <c:pt idx="199">
                  <c:v>127</c:v>
                </c:pt>
                <c:pt idx="200">
                  <c:v>76</c:v>
                </c:pt>
                <c:pt idx="201">
                  <c:v>20</c:v>
                </c:pt>
                <c:pt idx="202">
                  <c:v>20</c:v>
                </c:pt>
                <c:pt idx="203">
                  <c:v>17</c:v>
                </c:pt>
                <c:pt idx="204">
                  <c:v>15</c:v>
                </c:pt>
                <c:pt idx="205">
                  <c:v>7</c:v>
                </c:pt>
                <c:pt idx="206">
                  <c:v>8</c:v>
                </c:pt>
                <c:pt idx="207">
                  <c:v>11</c:v>
                </c:pt>
                <c:pt idx="208">
                  <c:v>20</c:v>
                </c:pt>
                <c:pt idx="209">
                  <c:v>22</c:v>
                </c:pt>
                <c:pt idx="210">
                  <c:v>34</c:v>
                </c:pt>
                <c:pt idx="211">
                  <c:v>43</c:v>
                </c:pt>
                <c:pt idx="212">
                  <c:v>68</c:v>
                </c:pt>
                <c:pt idx="213">
                  <c:v>56</c:v>
                </c:pt>
                <c:pt idx="214">
                  <c:v>43</c:v>
                </c:pt>
                <c:pt idx="215">
                  <c:v>42</c:v>
                </c:pt>
                <c:pt idx="216">
                  <c:v>28</c:v>
                </c:pt>
                <c:pt idx="217">
                  <c:v>31</c:v>
                </c:pt>
                <c:pt idx="218">
                  <c:v>25</c:v>
                </c:pt>
                <c:pt idx="219">
                  <c:v>5</c:v>
                </c:pt>
                <c:pt idx="220">
                  <c:v>10</c:v>
                </c:pt>
                <c:pt idx="221">
                  <c:v>1</c:v>
                </c:pt>
                <c:pt idx="222">
                  <c:v>2</c:v>
                </c:pt>
                <c:pt idx="225">
                  <c:v>2</c:v>
                </c:pt>
                <c:pt idx="226">
                  <c:v>3</c:v>
                </c:pt>
                <c:pt idx="227">
                  <c:v>2</c:v>
                </c:pt>
                <c:pt idx="228">
                  <c:v>11</c:v>
                </c:pt>
                <c:pt idx="229">
                  <c:v>9</c:v>
                </c:pt>
                <c:pt idx="230">
                  <c:v>5</c:v>
                </c:pt>
                <c:pt idx="231">
                  <c:v>12</c:v>
                </c:pt>
                <c:pt idx="232">
                  <c:v>18</c:v>
                </c:pt>
                <c:pt idx="233">
                  <c:v>14</c:v>
                </c:pt>
                <c:pt idx="234">
                  <c:v>19</c:v>
                </c:pt>
                <c:pt idx="235">
                  <c:v>25</c:v>
                </c:pt>
                <c:pt idx="236">
                  <c:v>68</c:v>
                </c:pt>
                <c:pt idx="237">
                  <c:v>46</c:v>
                </c:pt>
                <c:pt idx="238">
                  <c:v>54</c:v>
                </c:pt>
                <c:pt idx="239">
                  <c:v>98</c:v>
                </c:pt>
                <c:pt idx="240">
                  <c:v>29</c:v>
                </c:pt>
                <c:pt idx="241">
                  <c:v>28</c:v>
                </c:pt>
                <c:pt idx="242">
                  <c:v>60</c:v>
                </c:pt>
                <c:pt idx="243">
                  <c:v>47</c:v>
                </c:pt>
                <c:pt idx="244">
                  <c:v>40</c:v>
                </c:pt>
                <c:pt idx="245">
                  <c:v>17</c:v>
                </c:pt>
                <c:pt idx="246">
                  <c:v>24</c:v>
                </c:pt>
                <c:pt idx="247">
                  <c:v>20</c:v>
                </c:pt>
                <c:pt idx="248">
                  <c:v>14</c:v>
                </c:pt>
                <c:pt idx="249">
                  <c:v>12</c:v>
                </c:pt>
                <c:pt idx="250">
                  <c:v>8</c:v>
                </c:pt>
                <c:pt idx="251">
                  <c:v>6</c:v>
                </c:pt>
                <c:pt idx="252">
                  <c:v>1</c:v>
                </c:pt>
                <c:pt idx="253">
                  <c:v>4</c:v>
                </c:pt>
                <c:pt idx="256">
                  <c:v>5</c:v>
                </c:pt>
                <c:pt idx="257">
                  <c:v>2</c:v>
                </c:pt>
                <c:pt idx="259">
                  <c:v>2</c:v>
                </c:pt>
                <c:pt idx="260">
                  <c:v>7</c:v>
                </c:pt>
                <c:pt idx="261">
                  <c:v>7</c:v>
                </c:pt>
                <c:pt idx="262">
                  <c:v>8</c:v>
                </c:pt>
                <c:pt idx="263">
                  <c:v>9</c:v>
                </c:pt>
                <c:pt idx="264">
                  <c:v>2</c:v>
                </c:pt>
                <c:pt idx="265">
                  <c:v>7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5</c:v>
                </c:pt>
                <c:pt idx="270">
                  <c:v>4</c:v>
                </c:pt>
                <c:pt idx="271">
                  <c:v>20</c:v>
                </c:pt>
                <c:pt idx="272">
                  <c:v>17</c:v>
                </c:pt>
                <c:pt idx="273">
                  <c:v>11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25</c:v>
                </c:pt>
                <c:pt idx="278">
                  <c:v>22</c:v>
                </c:pt>
                <c:pt idx="279">
                  <c:v>24</c:v>
                </c:pt>
                <c:pt idx="280">
                  <c:v>37</c:v>
                </c:pt>
                <c:pt idx="281">
                  <c:v>54</c:v>
                </c:pt>
                <c:pt idx="282">
                  <c:v>32</c:v>
                </c:pt>
                <c:pt idx="283">
                  <c:v>58</c:v>
                </c:pt>
                <c:pt idx="284">
                  <c:v>35</c:v>
                </c:pt>
                <c:pt idx="285">
                  <c:v>15</c:v>
                </c:pt>
                <c:pt idx="286">
                  <c:v>17</c:v>
                </c:pt>
                <c:pt idx="287">
                  <c:v>24</c:v>
                </c:pt>
                <c:pt idx="288">
                  <c:v>14</c:v>
                </c:pt>
                <c:pt idx="289">
                  <c:v>13</c:v>
                </c:pt>
                <c:pt idx="290">
                  <c:v>31</c:v>
                </c:pt>
                <c:pt idx="291">
                  <c:v>24</c:v>
                </c:pt>
                <c:pt idx="292">
                  <c:v>21</c:v>
                </c:pt>
                <c:pt idx="293">
                  <c:v>20</c:v>
                </c:pt>
                <c:pt idx="294">
                  <c:v>23</c:v>
                </c:pt>
                <c:pt idx="295">
                  <c:v>23</c:v>
                </c:pt>
                <c:pt idx="296">
                  <c:v>25</c:v>
                </c:pt>
                <c:pt idx="297">
                  <c:v>24</c:v>
                </c:pt>
                <c:pt idx="298">
                  <c:v>25</c:v>
                </c:pt>
                <c:pt idx="299">
                  <c:v>20</c:v>
                </c:pt>
                <c:pt idx="300">
                  <c:v>27</c:v>
                </c:pt>
                <c:pt idx="301">
                  <c:v>33</c:v>
                </c:pt>
                <c:pt idx="302">
                  <c:v>42</c:v>
                </c:pt>
                <c:pt idx="303">
                  <c:v>104</c:v>
                </c:pt>
                <c:pt idx="304">
                  <c:v>359</c:v>
                </c:pt>
                <c:pt idx="305">
                  <c:v>176</c:v>
                </c:pt>
                <c:pt idx="306">
                  <c:v>187</c:v>
                </c:pt>
                <c:pt idx="307">
                  <c:v>140</c:v>
                </c:pt>
                <c:pt idx="308">
                  <c:v>190</c:v>
                </c:pt>
                <c:pt idx="309">
                  <c:v>306</c:v>
                </c:pt>
                <c:pt idx="310">
                  <c:v>747</c:v>
                </c:pt>
                <c:pt idx="311">
                  <c:v>1047</c:v>
                </c:pt>
                <c:pt idx="312">
                  <c:v>1241</c:v>
                </c:pt>
                <c:pt idx="313">
                  <c:v>3005</c:v>
                </c:pt>
                <c:pt idx="314">
                  <c:v>2163</c:v>
                </c:pt>
                <c:pt idx="315">
                  <c:v>2664</c:v>
                </c:pt>
                <c:pt idx="316">
                  <c:v>3014</c:v>
                </c:pt>
                <c:pt idx="317">
                  <c:v>2287</c:v>
                </c:pt>
                <c:pt idx="318">
                  <c:v>1874</c:v>
                </c:pt>
                <c:pt idx="319">
                  <c:v>1658</c:v>
                </c:pt>
                <c:pt idx="320">
                  <c:v>1685</c:v>
                </c:pt>
                <c:pt idx="321">
                  <c:v>1596</c:v>
                </c:pt>
                <c:pt idx="322">
                  <c:v>1216</c:v>
                </c:pt>
                <c:pt idx="323">
                  <c:v>1204</c:v>
                </c:pt>
                <c:pt idx="324">
                  <c:v>870</c:v>
                </c:pt>
                <c:pt idx="325">
                  <c:v>850</c:v>
                </c:pt>
                <c:pt idx="326">
                  <c:v>687</c:v>
                </c:pt>
                <c:pt idx="327">
                  <c:v>857</c:v>
                </c:pt>
                <c:pt idx="328">
                  <c:v>985</c:v>
                </c:pt>
                <c:pt idx="329">
                  <c:v>962</c:v>
                </c:pt>
                <c:pt idx="330">
                  <c:v>822</c:v>
                </c:pt>
                <c:pt idx="331">
                  <c:v>833</c:v>
                </c:pt>
                <c:pt idx="332">
                  <c:v>651</c:v>
                </c:pt>
                <c:pt idx="333">
                  <c:v>429</c:v>
                </c:pt>
                <c:pt idx="334">
                  <c:v>367</c:v>
                </c:pt>
                <c:pt idx="335">
                  <c:v>325</c:v>
                </c:pt>
                <c:pt idx="336">
                  <c:v>343</c:v>
                </c:pt>
                <c:pt idx="337">
                  <c:v>332</c:v>
                </c:pt>
                <c:pt idx="338">
                  <c:v>351</c:v>
                </c:pt>
                <c:pt idx="339">
                  <c:v>368</c:v>
                </c:pt>
                <c:pt idx="340">
                  <c:v>418</c:v>
                </c:pt>
                <c:pt idx="341">
                  <c:v>403</c:v>
                </c:pt>
                <c:pt idx="342">
                  <c:v>150</c:v>
                </c:pt>
                <c:pt idx="343">
                  <c:v>80</c:v>
                </c:pt>
                <c:pt idx="344">
                  <c:v>155</c:v>
                </c:pt>
                <c:pt idx="345">
                  <c:v>156</c:v>
                </c:pt>
                <c:pt idx="346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083-449C-B8A0-4CAED72097A2}"/>
            </c:ext>
          </c:extLst>
        </c:ser>
        <c:ser>
          <c:idx val="13"/>
          <c:order val="13"/>
          <c:tx>
            <c:strRef>
              <c:f>[1]画图1!$O$1</c:f>
              <c:strCache>
                <c:ptCount val="1"/>
                <c:pt idx="0">
                  <c:v>黑龙江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[1]画图1!$O$2:$O$348</c:f>
              <c:numCache>
                <c:formatCode>General</c:formatCode>
                <c:ptCount val="347"/>
                <c:pt idx="24">
                  <c:v>13</c:v>
                </c:pt>
                <c:pt idx="25">
                  <c:v>16</c:v>
                </c:pt>
                <c:pt idx="26">
                  <c:v>18</c:v>
                </c:pt>
                <c:pt idx="27">
                  <c:v>2</c:v>
                </c:pt>
                <c:pt idx="28">
                  <c:v>20</c:v>
                </c:pt>
                <c:pt idx="29">
                  <c:v>4</c:v>
                </c:pt>
                <c:pt idx="36">
                  <c:v>5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4</c:v>
                </c:pt>
                <c:pt idx="51">
                  <c:v>0</c:v>
                </c:pt>
                <c:pt idx="52">
                  <c:v>1</c:v>
                </c:pt>
                <c:pt idx="53">
                  <c:v>5</c:v>
                </c:pt>
                <c:pt idx="54">
                  <c:v>4</c:v>
                </c:pt>
                <c:pt idx="55">
                  <c:v>2</c:v>
                </c:pt>
                <c:pt idx="56">
                  <c:v>0</c:v>
                </c:pt>
                <c:pt idx="57">
                  <c:v>7</c:v>
                </c:pt>
                <c:pt idx="58">
                  <c:v>9</c:v>
                </c:pt>
                <c:pt idx="59">
                  <c:v>16</c:v>
                </c:pt>
                <c:pt idx="60">
                  <c:v>4</c:v>
                </c:pt>
                <c:pt idx="61">
                  <c:v>8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15</c:v>
                </c:pt>
                <c:pt idx="67">
                  <c:v>9</c:v>
                </c:pt>
                <c:pt idx="68">
                  <c:v>10</c:v>
                </c:pt>
                <c:pt idx="69">
                  <c:v>3</c:v>
                </c:pt>
                <c:pt idx="70">
                  <c:v>3</c:v>
                </c:pt>
                <c:pt idx="71">
                  <c:v>17</c:v>
                </c:pt>
                <c:pt idx="72">
                  <c:v>15</c:v>
                </c:pt>
                <c:pt idx="73">
                  <c:v>26</c:v>
                </c:pt>
                <c:pt idx="74">
                  <c:v>29</c:v>
                </c:pt>
                <c:pt idx="75">
                  <c:v>51</c:v>
                </c:pt>
                <c:pt idx="76">
                  <c:v>63</c:v>
                </c:pt>
                <c:pt idx="77">
                  <c:v>23</c:v>
                </c:pt>
                <c:pt idx="78">
                  <c:v>41</c:v>
                </c:pt>
                <c:pt idx="79">
                  <c:v>55</c:v>
                </c:pt>
                <c:pt idx="80">
                  <c:v>41</c:v>
                </c:pt>
                <c:pt idx="81">
                  <c:v>37</c:v>
                </c:pt>
                <c:pt idx="82">
                  <c:v>36</c:v>
                </c:pt>
                <c:pt idx="83">
                  <c:v>20</c:v>
                </c:pt>
                <c:pt idx="84">
                  <c:v>11</c:v>
                </c:pt>
                <c:pt idx="85">
                  <c:v>25</c:v>
                </c:pt>
                <c:pt idx="86">
                  <c:v>25</c:v>
                </c:pt>
                <c:pt idx="87">
                  <c:v>27</c:v>
                </c:pt>
                <c:pt idx="88">
                  <c:v>37</c:v>
                </c:pt>
                <c:pt idx="89">
                  <c:v>33</c:v>
                </c:pt>
                <c:pt idx="90">
                  <c:v>50</c:v>
                </c:pt>
                <c:pt idx="91">
                  <c:v>17</c:v>
                </c:pt>
                <c:pt idx="92">
                  <c:v>24</c:v>
                </c:pt>
                <c:pt idx="93">
                  <c:v>27</c:v>
                </c:pt>
                <c:pt idx="94">
                  <c:v>11</c:v>
                </c:pt>
                <c:pt idx="95">
                  <c:v>20</c:v>
                </c:pt>
                <c:pt idx="96">
                  <c:v>6</c:v>
                </c:pt>
                <c:pt idx="97">
                  <c:v>11</c:v>
                </c:pt>
                <c:pt idx="98">
                  <c:v>2</c:v>
                </c:pt>
                <c:pt idx="99">
                  <c:v>3</c:v>
                </c:pt>
                <c:pt idx="100">
                  <c:v>2</c:v>
                </c:pt>
                <c:pt idx="101">
                  <c:v>4</c:v>
                </c:pt>
                <c:pt idx="102">
                  <c:v>9</c:v>
                </c:pt>
                <c:pt idx="103">
                  <c:v>10</c:v>
                </c:pt>
                <c:pt idx="104">
                  <c:v>34</c:v>
                </c:pt>
                <c:pt idx="105">
                  <c:v>60</c:v>
                </c:pt>
                <c:pt idx="106">
                  <c:v>54</c:v>
                </c:pt>
                <c:pt idx="107">
                  <c:v>95</c:v>
                </c:pt>
                <c:pt idx="108">
                  <c:v>73</c:v>
                </c:pt>
                <c:pt idx="109">
                  <c:v>65</c:v>
                </c:pt>
                <c:pt idx="110">
                  <c:v>90</c:v>
                </c:pt>
                <c:pt idx="111">
                  <c:v>45</c:v>
                </c:pt>
                <c:pt idx="112">
                  <c:v>42</c:v>
                </c:pt>
                <c:pt idx="113">
                  <c:v>38</c:v>
                </c:pt>
                <c:pt idx="114">
                  <c:v>36</c:v>
                </c:pt>
                <c:pt idx="115">
                  <c:v>32</c:v>
                </c:pt>
                <c:pt idx="116">
                  <c:v>17</c:v>
                </c:pt>
                <c:pt idx="117">
                  <c:v>10</c:v>
                </c:pt>
                <c:pt idx="118">
                  <c:v>5</c:v>
                </c:pt>
                <c:pt idx="119">
                  <c:v>14</c:v>
                </c:pt>
                <c:pt idx="120">
                  <c:v>28</c:v>
                </c:pt>
                <c:pt idx="121">
                  <c:v>23</c:v>
                </c:pt>
                <c:pt idx="122">
                  <c:v>10</c:v>
                </c:pt>
                <c:pt idx="123">
                  <c:v>4</c:v>
                </c:pt>
                <c:pt idx="124">
                  <c:v>4</c:v>
                </c:pt>
                <c:pt idx="125">
                  <c:v>1</c:v>
                </c:pt>
                <c:pt idx="126">
                  <c:v>1</c:v>
                </c:pt>
                <c:pt idx="134">
                  <c:v>2</c:v>
                </c:pt>
                <c:pt idx="145">
                  <c:v>1</c:v>
                </c:pt>
                <c:pt idx="196">
                  <c:v>1</c:v>
                </c:pt>
                <c:pt idx="230">
                  <c:v>5</c:v>
                </c:pt>
                <c:pt idx="231">
                  <c:v>8</c:v>
                </c:pt>
                <c:pt idx="232">
                  <c:v>6</c:v>
                </c:pt>
                <c:pt idx="233">
                  <c:v>5</c:v>
                </c:pt>
                <c:pt idx="234">
                  <c:v>6</c:v>
                </c:pt>
                <c:pt idx="235">
                  <c:v>1</c:v>
                </c:pt>
                <c:pt idx="236">
                  <c:v>5</c:v>
                </c:pt>
                <c:pt idx="237">
                  <c:v>13</c:v>
                </c:pt>
                <c:pt idx="238">
                  <c:v>8</c:v>
                </c:pt>
                <c:pt idx="239">
                  <c:v>44</c:v>
                </c:pt>
                <c:pt idx="240">
                  <c:v>74</c:v>
                </c:pt>
                <c:pt idx="241">
                  <c:v>82</c:v>
                </c:pt>
                <c:pt idx="242">
                  <c:v>138</c:v>
                </c:pt>
                <c:pt idx="243">
                  <c:v>215</c:v>
                </c:pt>
                <c:pt idx="244">
                  <c:v>175</c:v>
                </c:pt>
                <c:pt idx="245">
                  <c:v>96</c:v>
                </c:pt>
                <c:pt idx="246">
                  <c:v>162</c:v>
                </c:pt>
                <c:pt idx="247">
                  <c:v>155</c:v>
                </c:pt>
                <c:pt idx="248">
                  <c:v>192</c:v>
                </c:pt>
                <c:pt idx="249">
                  <c:v>110</c:v>
                </c:pt>
                <c:pt idx="250">
                  <c:v>115</c:v>
                </c:pt>
                <c:pt idx="251">
                  <c:v>112</c:v>
                </c:pt>
                <c:pt idx="252">
                  <c:v>87</c:v>
                </c:pt>
                <c:pt idx="253">
                  <c:v>69</c:v>
                </c:pt>
                <c:pt idx="254">
                  <c:v>21</c:v>
                </c:pt>
                <c:pt idx="255">
                  <c:v>45</c:v>
                </c:pt>
                <c:pt idx="256">
                  <c:v>22</c:v>
                </c:pt>
                <c:pt idx="257">
                  <c:v>8</c:v>
                </c:pt>
                <c:pt idx="258">
                  <c:v>3</c:v>
                </c:pt>
                <c:pt idx="259">
                  <c:v>4</c:v>
                </c:pt>
                <c:pt idx="260">
                  <c:v>12</c:v>
                </c:pt>
                <c:pt idx="261">
                  <c:v>45</c:v>
                </c:pt>
                <c:pt idx="262">
                  <c:v>110</c:v>
                </c:pt>
                <c:pt idx="263">
                  <c:v>116</c:v>
                </c:pt>
                <c:pt idx="264">
                  <c:v>230</c:v>
                </c:pt>
                <c:pt idx="265">
                  <c:v>224</c:v>
                </c:pt>
                <c:pt idx="266">
                  <c:v>173</c:v>
                </c:pt>
                <c:pt idx="267">
                  <c:v>157</c:v>
                </c:pt>
                <c:pt idx="268">
                  <c:v>136</c:v>
                </c:pt>
                <c:pt idx="269">
                  <c:v>87</c:v>
                </c:pt>
                <c:pt idx="270">
                  <c:v>82</c:v>
                </c:pt>
                <c:pt idx="271">
                  <c:v>66</c:v>
                </c:pt>
                <c:pt idx="272">
                  <c:v>32</c:v>
                </c:pt>
                <c:pt idx="273">
                  <c:v>15</c:v>
                </c:pt>
                <c:pt idx="274">
                  <c:v>9</c:v>
                </c:pt>
                <c:pt idx="275">
                  <c:v>5</c:v>
                </c:pt>
                <c:pt idx="276">
                  <c:v>5</c:v>
                </c:pt>
                <c:pt idx="277">
                  <c:v>11</c:v>
                </c:pt>
                <c:pt idx="278">
                  <c:v>13</c:v>
                </c:pt>
                <c:pt idx="279">
                  <c:v>6</c:v>
                </c:pt>
                <c:pt idx="280">
                  <c:v>7</c:v>
                </c:pt>
                <c:pt idx="281">
                  <c:v>2</c:v>
                </c:pt>
                <c:pt idx="282">
                  <c:v>6</c:v>
                </c:pt>
                <c:pt idx="283">
                  <c:v>19</c:v>
                </c:pt>
                <c:pt idx="284">
                  <c:v>11</c:v>
                </c:pt>
                <c:pt idx="285">
                  <c:v>62</c:v>
                </c:pt>
                <c:pt idx="286">
                  <c:v>65</c:v>
                </c:pt>
                <c:pt idx="287">
                  <c:v>10</c:v>
                </c:pt>
                <c:pt idx="288">
                  <c:v>8</c:v>
                </c:pt>
                <c:pt idx="289">
                  <c:v>8</c:v>
                </c:pt>
                <c:pt idx="290">
                  <c:v>3</c:v>
                </c:pt>
                <c:pt idx="292">
                  <c:v>6</c:v>
                </c:pt>
                <c:pt idx="293">
                  <c:v>9</c:v>
                </c:pt>
                <c:pt idx="294">
                  <c:v>12</c:v>
                </c:pt>
                <c:pt idx="295">
                  <c:v>15</c:v>
                </c:pt>
                <c:pt idx="296">
                  <c:v>4</c:v>
                </c:pt>
                <c:pt idx="297">
                  <c:v>6</c:v>
                </c:pt>
                <c:pt idx="298">
                  <c:v>10</c:v>
                </c:pt>
                <c:pt idx="299">
                  <c:v>35</c:v>
                </c:pt>
                <c:pt idx="300">
                  <c:v>57</c:v>
                </c:pt>
                <c:pt idx="301">
                  <c:v>147</c:v>
                </c:pt>
                <c:pt idx="302">
                  <c:v>185</c:v>
                </c:pt>
                <c:pt idx="303">
                  <c:v>189</c:v>
                </c:pt>
                <c:pt idx="304">
                  <c:v>197</c:v>
                </c:pt>
                <c:pt idx="305">
                  <c:v>197</c:v>
                </c:pt>
                <c:pt idx="306">
                  <c:v>341</c:v>
                </c:pt>
                <c:pt idx="307">
                  <c:v>216</c:v>
                </c:pt>
                <c:pt idx="308">
                  <c:v>301</c:v>
                </c:pt>
                <c:pt idx="309">
                  <c:v>288</c:v>
                </c:pt>
                <c:pt idx="310">
                  <c:v>282</c:v>
                </c:pt>
                <c:pt idx="311">
                  <c:v>405</c:v>
                </c:pt>
                <c:pt idx="312">
                  <c:v>334</c:v>
                </c:pt>
                <c:pt idx="313">
                  <c:v>259</c:v>
                </c:pt>
                <c:pt idx="314">
                  <c:v>253</c:v>
                </c:pt>
                <c:pt idx="315">
                  <c:v>419</c:v>
                </c:pt>
                <c:pt idx="316">
                  <c:v>367</c:v>
                </c:pt>
                <c:pt idx="317">
                  <c:v>375</c:v>
                </c:pt>
                <c:pt idx="318">
                  <c:v>323</c:v>
                </c:pt>
                <c:pt idx="319">
                  <c:v>246</c:v>
                </c:pt>
                <c:pt idx="320">
                  <c:v>319</c:v>
                </c:pt>
                <c:pt idx="321">
                  <c:v>288</c:v>
                </c:pt>
                <c:pt idx="322">
                  <c:v>297</c:v>
                </c:pt>
                <c:pt idx="323">
                  <c:v>295</c:v>
                </c:pt>
                <c:pt idx="324">
                  <c:v>317</c:v>
                </c:pt>
                <c:pt idx="325">
                  <c:v>312</c:v>
                </c:pt>
                <c:pt idx="326">
                  <c:v>412</c:v>
                </c:pt>
                <c:pt idx="327">
                  <c:v>390</c:v>
                </c:pt>
                <c:pt idx="328">
                  <c:v>446</c:v>
                </c:pt>
                <c:pt idx="329">
                  <c:v>546</c:v>
                </c:pt>
                <c:pt idx="330">
                  <c:v>443</c:v>
                </c:pt>
                <c:pt idx="331">
                  <c:v>578</c:v>
                </c:pt>
                <c:pt idx="332">
                  <c:v>692</c:v>
                </c:pt>
                <c:pt idx="333">
                  <c:v>752</c:v>
                </c:pt>
                <c:pt idx="334">
                  <c:v>747</c:v>
                </c:pt>
                <c:pt idx="335">
                  <c:v>634</c:v>
                </c:pt>
                <c:pt idx="336">
                  <c:v>1121</c:v>
                </c:pt>
                <c:pt idx="337">
                  <c:v>1263</c:v>
                </c:pt>
                <c:pt idx="338">
                  <c:v>1328</c:v>
                </c:pt>
                <c:pt idx="339">
                  <c:v>1131</c:v>
                </c:pt>
                <c:pt idx="340">
                  <c:v>946</c:v>
                </c:pt>
                <c:pt idx="341">
                  <c:v>754</c:v>
                </c:pt>
                <c:pt idx="342">
                  <c:v>789</c:v>
                </c:pt>
                <c:pt idx="343">
                  <c:v>649</c:v>
                </c:pt>
                <c:pt idx="344">
                  <c:v>298</c:v>
                </c:pt>
                <c:pt idx="345">
                  <c:v>234</c:v>
                </c:pt>
                <c:pt idx="34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083-449C-B8A0-4CAED72097A2}"/>
            </c:ext>
          </c:extLst>
        </c:ser>
        <c:ser>
          <c:idx val="14"/>
          <c:order val="14"/>
          <c:tx>
            <c:strRef>
              <c:f>[1]画图1!$P$1</c:f>
              <c:strCache>
                <c:ptCount val="1"/>
                <c:pt idx="0">
                  <c:v>湖南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[1]画图1!$P$2:$P$348</c:f>
              <c:numCache>
                <c:formatCode>General</c:formatCode>
                <c:ptCount val="347"/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2</c:v>
                </c:pt>
                <c:pt idx="76">
                  <c:v>7</c:v>
                </c:pt>
                <c:pt idx="77">
                  <c:v>5</c:v>
                </c:pt>
                <c:pt idx="78">
                  <c:v>10</c:v>
                </c:pt>
                <c:pt idx="79">
                  <c:v>8</c:v>
                </c:pt>
                <c:pt idx="80">
                  <c:v>2</c:v>
                </c:pt>
                <c:pt idx="81">
                  <c:v>7</c:v>
                </c:pt>
                <c:pt idx="82">
                  <c:v>1</c:v>
                </c:pt>
                <c:pt idx="83">
                  <c:v>1</c:v>
                </c:pt>
                <c:pt idx="84">
                  <c:v>4</c:v>
                </c:pt>
                <c:pt idx="85">
                  <c:v>0</c:v>
                </c:pt>
                <c:pt idx="86">
                  <c:v>5</c:v>
                </c:pt>
                <c:pt idx="87">
                  <c:v>3</c:v>
                </c:pt>
                <c:pt idx="88">
                  <c:v>5</c:v>
                </c:pt>
                <c:pt idx="89">
                  <c:v>5</c:v>
                </c:pt>
                <c:pt idx="90">
                  <c:v>3</c:v>
                </c:pt>
                <c:pt idx="91">
                  <c:v>2</c:v>
                </c:pt>
                <c:pt idx="92">
                  <c:v>3</c:v>
                </c:pt>
                <c:pt idx="93">
                  <c:v>1</c:v>
                </c:pt>
                <c:pt idx="94">
                  <c:v>2</c:v>
                </c:pt>
                <c:pt idx="95">
                  <c:v>0</c:v>
                </c:pt>
                <c:pt idx="96">
                  <c:v>1</c:v>
                </c:pt>
                <c:pt idx="101">
                  <c:v>2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9</c:v>
                </c:pt>
                <c:pt idx="112">
                  <c:v>4</c:v>
                </c:pt>
                <c:pt idx="113">
                  <c:v>12</c:v>
                </c:pt>
                <c:pt idx="114">
                  <c:v>2</c:v>
                </c:pt>
                <c:pt idx="115">
                  <c:v>2</c:v>
                </c:pt>
                <c:pt idx="116">
                  <c:v>1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0</c:v>
                </c:pt>
                <c:pt idx="127">
                  <c:v>1</c:v>
                </c:pt>
                <c:pt idx="132">
                  <c:v>1</c:v>
                </c:pt>
                <c:pt idx="199">
                  <c:v>1</c:v>
                </c:pt>
                <c:pt idx="210">
                  <c:v>1</c:v>
                </c:pt>
                <c:pt idx="217">
                  <c:v>4</c:v>
                </c:pt>
                <c:pt idx="220">
                  <c:v>2</c:v>
                </c:pt>
                <c:pt idx="222">
                  <c:v>4</c:v>
                </c:pt>
                <c:pt idx="228">
                  <c:v>1</c:v>
                </c:pt>
                <c:pt idx="230">
                  <c:v>1</c:v>
                </c:pt>
                <c:pt idx="231">
                  <c:v>3</c:v>
                </c:pt>
                <c:pt idx="232">
                  <c:v>1</c:v>
                </c:pt>
                <c:pt idx="233">
                  <c:v>2</c:v>
                </c:pt>
                <c:pt idx="234">
                  <c:v>1</c:v>
                </c:pt>
                <c:pt idx="235">
                  <c:v>4</c:v>
                </c:pt>
                <c:pt idx="236">
                  <c:v>1</c:v>
                </c:pt>
                <c:pt idx="237">
                  <c:v>4</c:v>
                </c:pt>
                <c:pt idx="239">
                  <c:v>5</c:v>
                </c:pt>
                <c:pt idx="240">
                  <c:v>3</c:v>
                </c:pt>
                <c:pt idx="241">
                  <c:v>1</c:v>
                </c:pt>
                <c:pt idx="245">
                  <c:v>3</c:v>
                </c:pt>
                <c:pt idx="251">
                  <c:v>1</c:v>
                </c:pt>
                <c:pt idx="253">
                  <c:v>1</c:v>
                </c:pt>
                <c:pt idx="255">
                  <c:v>5</c:v>
                </c:pt>
                <c:pt idx="257">
                  <c:v>2</c:v>
                </c:pt>
                <c:pt idx="259">
                  <c:v>1</c:v>
                </c:pt>
                <c:pt idx="261">
                  <c:v>1</c:v>
                </c:pt>
                <c:pt idx="264">
                  <c:v>6</c:v>
                </c:pt>
                <c:pt idx="265">
                  <c:v>2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12</c:v>
                </c:pt>
                <c:pt idx="275">
                  <c:v>7</c:v>
                </c:pt>
                <c:pt idx="276">
                  <c:v>14</c:v>
                </c:pt>
                <c:pt idx="277">
                  <c:v>8</c:v>
                </c:pt>
                <c:pt idx="278">
                  <c:v>26</c:v>
                </c:pt>
                <c:pt idx="279">
                  <c:v>11</c:v>
                </c:pt>
                <c:pt idx="280">
                  <c:v>20</c:v>
                </c:pt>
                <c:pt idx="281">
                  <c:v>22</c:v>
                </c:pt>
                <c:pt idx="282">
                  <c:v>18</c:v>
                </c:pt>
                <c:pt idx="283">
                  <c:v>21</c:v>
                </c:pt>
                <c:pt idx="284">
                  <c:v>9</c:v>
                </c:pt>
                <c:pt idx="285">
                  <c:v>7</c:v>
                </c:pt>
                <c:pt idx="286">
                  <c:v>7</c:v>
                </c:pt>
                <c:pt idx="287">
                  <c:v>10</c:v>
                </c:pt>
                <c:pt idx="288">
                  <c:v>16</c:v>
                </c:pt>
                <c:pt idx="289">
                  <c:v>59</c:v>
                </c:pt>
                <c:pt idx="290">
                  <c:v>48</c:v>
                </c:pt>
                <c:pt idx="291">
                  <c:v>45</c:v>
                </c:pt>
                <c:pt idx="292">
                  <c:v>38</c:v>
                </c:pt>
                <c:pt idx="293">
                  <c:v>46</c:v>
                </c:pt>
                <c:pt idx="294">
                  <c:v>67</c:v>
                </c:pt>
                <c:pt idx="295">
                  <c:v>76</c:v>
                </c:pt>
                <c:pt idx="296">
                  <c:v>88</c:v>
                </c:pt>
                <c:pt idx="297">
                  <c:v>69</c:v>
                </c:pt>
                <c:pt idx="298">
                  <c:v>70</c:v>
                </c:pt>
                <c:pt idx="299">
                  <c:v>75</c:v>
                </c:pt>
                <c:pt idx="300">
                  <c:v>70</c:v>
                </c:pt>
                <c:pt idx="301">
                  <c:v>61</c:v>
                </c:pt>
                <c:pt idx="302">
                  <c:v>66</c:v>
                </c:pt>
                <c:pt idx="303">
                  <c:v>61</c:v>
                </c:pt>
                <c:pt idx="304">
                  <c:v>145</c:v>
                </c:pt>
                <c:pt idx="305">
                  <c:v>130</c:v>
                </c:pt>
                <c:pt idx="306">
                  <c:v>402</c:v>
                </c:pt>
                <c:pt idx="307">
                  <c:v>372</c:v>
                </c:pt>
                <c:pt idx="308">
                  <c:v>264</c:v>
                </c:pt>
                <c:pt idx="309">
                  <c:v>267</c:v>
                </c:pt>
                <c:pt idx="310">
                  <c:v>198</c:v>
                </c:pt>
                <c:pt idx="311">
                  <c:v>158</c:v>
                </c:pt>
                <c:pt idx="312">
                  <c:v>105</c:v>
                </c:pt>
                <c:pt idx="313">
                  <c:v>77</c:v>
                </c:pt>
                <c:pt idx="314">
                  <c:v>58</c:v>
                </c:pt>
                <c:pt idx="315">
                  <c:v>178</c:v>
                </c:pt>
                <c:pt idx="316">
                  <c:v>304</c:v>
                </c:pt>
                <c:pt idx="317">
                  <c:v>221</c:v>
                </c:pt>
                <c:pt idx="318">
                  <c:v>189</c:v>
                </c:pt>
                <c:pt idx="319">
                  <c:v>173</c:v>
                </c:pt>
                <c:pt idx="320">
                  <c:v>130</c:v>
                </c:pt>
                <c:pt idx="321">
                  <c:v>107</c:v>
                </c:pt>
                <c:pt idx="322">
                  <c:v>127</c:v>
                </c:pt>
                <c:pt idx="323">
                  <c:v>179</c:v>
                </c:pt>
                <c:pt idx="324">
                  <c:v>125</c:v>
                </c:pt>
                <c:pt idx="325">
                  <c:v>132</c:v>
                </c:pt>
                <c:pt idx="326">
                  <c:v>144</c:v>
                </c:pt>
                <c:pt idx="327">
                  <c:v>160</c:v>
                </c:pt>
                <c:pt idx="328">
                  <c:v>304</c:v>
                </c:pt>
                <c:pt idx="329">
                  <c:v>222</c:v>
                </c:pt>
                <c:pt idx="330">
                  <c:v>393</c:v>
                </c:pt>
                <c:pt idx="331">
                  <c:v>351</c:v>
                </c:pt>
                <c:pt idx="332">
                  <c:v>291</c:v>
                </c:pt>
                <c:pt idx="333">
                  <c:v>303</c:v>
                </c:pt>
                <c:pt idx="334">
                  <c:v>347</c:v>
                </c:pt>
                <c:pt idx="335">
                  <c:v>381</c:v>
                </c:pt>
                <c:pt idx="336">
                  <c:v>474</c:v>
                </c:pt>
                <c:pt idx="337">
                  <c:v>520</c:v>
                </c:pt>
                <c:pt idx="338">
                  <c:v>290</c:v>
                </c:pt>
                <c:pt idx="339">
                  <c:v>248</c:v>
                </c:pt>
                <c:pt idx="340">
                  <c:v>135</c:v>
                </c:pt>
                <c:pt idx="341">
                  <c:v>69</c:v>
                </c:pt>
                <c:pt idx="342">
                  <c:v>17</c:v>
                </c:pt>
                <c:pt idx="343">
                  <c:v>33</c:v>
                </c:pt>
                <c:pt idx="344">
                  <c:v>16</c:v>
                </c:pt>
                <c:pt idx="345">
                  <c:v>10</c:v>
                </c:pt>
                <c:pt idx="3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083-449C-B8A0-4CAED72097A2}"/>
            </c:ext>
          </c:extLst>
        </c:ser>
        <c:ser>
          <c:idx val="15"/>
          <c:order val="15"/>
          <c:tx>
            <c:strRef>
              <c:f>[1]画图1!$Q$1</c:f>
              <c:strCache>
                <c:ptCount val="1"/>
                <c:pt idx="0">
                  <c:v>河北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[1]画图1!$Q$2:$Q$348</c:f>
              <c:numCache>
                <c:formatCode>General</c:formatCode>
                <c:ptCount val="347"/>
                <c:pt idx="60">
                  <c:v>1</c:v>
                </c:pt>
                <c:pt idx="61">
                  <c:v>5</c:v>
                </c:pt>
                <c:pt idx="62">
                  <c:v>7</c:v>
                </c:pt>
                <c:pt idx="63">
                  <c:v>14</c:v>
                </c:pt>
                <c:pt idx="64">
                  <c:v>10</c:v>
                </c:pt>
                <c:pt idx="65">
                  <c:v>4</c:v>
                </c:pt>
                <c:pt idx="66">
                  <c:v>11</c:v>
                </c:pt>
                <c:pt idx="67">
                  <c:v>15</c:v>
                </c:pt>
                <c:pt idx="68">
                  <c:v>32</c:v>
                </c:pt>
                <c:pt idx="69">
                  <c:v>44</c:v>
                </c:pt>
                <c:pt idx="70">
                  <c:v>73</c:v>
                </c:pt>
                <c:pt idx="71">
                  <c:v>213</c:v>
                </c:pt>
                <c:pt idx="72">
                  <c:v>198</c:v>
                </c:pt>
                <c:pt idx="73">
                  <c:v>277</c:v>
                </c:pt>
                <c:pt idx="74">
                  <c:v>216</c:v>
                </c:pt>
                <c:pt idx="75">
                  <c:v>217</c:v>
                </c:pt>
                <c:pt idx="76">
                  <c:v>269</c:v>
                </c:pt>
                <c:pt idx="77">
                  <c:v>555</c:v>
                </c:pt>
                <c:pt idx="78">
                  <c:v>407</c:v>
                </c:pt>
                <c:pt idx="79">
                  <c:v>223</c:v>
                </c:pt>
                <c:pt idx="80">
                  <c:v>192</c:v>
                </c:pt>
                <c:pt idx="81">
                  <c:v>237</c:v>
                </c:pt>
                <c:pt idx="82">
                  <c:v>312</c:v>
                </c:pt>
                <c:pt idx="83">
                  <c:v>203</c:v>
                </c:pt>
                <c:pt idx="84">
                  <c:v>146</c:v>
                </c:pt>
                <c:pt idx="85">
                  <c:v>151</c:v>
                </c:pt>
                <c:pt idx="86">
                  <c:v>114</c:v>
                </c:pt>
                <c:pt idx="87">
                  <c:v>81</c:v>
                </c:pt>
                <c:pt idx="88">
                  <c:v>83</c:v>
                </c:pt>
                <c:pt idx="89">
                  <c:v>52</c:v>
                </c:pt>
                <c:pt idx="90">
                  <c:v>68</c:v>
                </c:pt>
                <c:pt idx="91">
                  <c:v>36</c:v>
                </c:pt>
                <c:pt idx="92">
                  <c:v>111</c:v>
                </c:pt>
                <c:pt idx="93">
                  <c:v>109</c:v>
                </c:pt>
                <c:pt idx="94">
                  <c:v>109</c:v>
                </c:pt>
                <c:pt idx="95">
                  <c:v>142</c:v>
                </c:pt>
                <c:pt idx="96">
                  <c:v>163</c:v>
                </c:pt>
                <c:pt idx="97">
                  <c:v>109</c:v>
                </c:pt>
                <c:pt idx="98">
                  <c:v>87</c:v>
                </c:pt>
                <c:pt idx="99">
                  <c:v>100</c:v>
                </c:pt>
                <c:pt idx="100">
                  <c:v>44</c:v>
                </c:pt>
                <c:pt idx="101">
                  <c:v>38</c:v>
                </c:pt>
                <c:pt idx="102">
                  <c:v>31</c:v>
                </c:pt>
                <c:pt idx="103">
                  <c:v>23</c:v>
                </c:pt>
                <c:pt idx="104">
                  <c:v>17</c:v>
                </c:pt>
                <c:pt idx="105">
                  <c:v>5</c:v>
                </c:pt>
                <c:pt idx="106">
                  <c:v>0</c:v>
                </c:pt>
                <c:pt idx="107">
                  <c:v>29</c:v>
                </c:pt>
                <c:pt idx="108">
                  <c:v>62</c:v>
                </c:pt>
                <c:pt idx="109">
                  <c:v>94</c:v>
                </c:pt>
                <c:pt idx="110">
                  <c:v>78</c:v>
                </c:pt>
                <c:pt idx="111">
                  <c:v>176</c:v>
                </c:pt>
                <c:pt idx="112">
                  <c:v>117</c:v>
                </c:pt>
                <c:pt idx="113">
                  <c:v>74</c:v>
                </c:pt>
                <c:pt idx="114">
                  <c:v>51</c:v>
                </c:pt>
                <c:pt idx="115">
                  <c:v>14</c:v>
                </c:pt>
                <c:pt idx="116">
                  <c:v>11</c:v>
                </c:pt>
                <c:pt idx="117">
                  <c:v>4</c:v>
                </c:pt>
                <c:pt idx="118">
                  <c:v>2</c:v>
                </c:pt>
                <c:pt idx="119">
                  <c:v>0</c:v>
                </c:pt>
                <c:pt idx="120">
                  <c:v>4</c:v>
                </c:pt>
                <c:pt idx="121">
                  <c:v>5</c:v>
                </c:pt>
                <c:pt idx="122">
                  <c:v>28</c:v>
                </c:pt>
                <c:pt idx="123">
                  <c:v>19</c:v>
                </c:pt>
                <c:pt idx="124">
                  <c:v>11</c:v>
                </c:pt>
                <c:pt idx="125">
                  <c:v>3</c:v>
                </c:pt>
                <c:pt idx="126">
                  <c:v>2</c:v>
                </c:pt>
                <c:pt idx="127">
                  <c:v>1</c:v>
                </c:pt>
                <c:pt idx="128">
                  <c:v>1</c:v>
                </c:pt>
                <c:pt idx="129">
                  <c:v>5</c:v>
                </c:pt>
                <c:pt idx="130">
                  <c:v>10</c:v>
                </c:pt>
                <c:pt idx="131">
                  <c:v>5</c:v>
                </c:pt>
                <c:pt idx="132">
                  <c:v>2</c:v>
                </c:pt>
                <c:pt idx="133">
                  <c:v>9</c:v>
                </c:pt>
                <c:pt idx="134">
                  <c:v>4</c:v>
                </c:pt>
                <c:pt idx="135">
                  <c:v>2</c:v>
                </c:pt>
                <c:pt idx="146">
                  <c:v>3</c:v>
                </c:pt>
                <c:pt idx="147">
                  <c:v>13</c:v>
                </c:pt>
                <c:pt idx="148">
                  <c:v>19</c:v>
                </c:pt>
                <c:pt idx="149">
                  <c:v>15</c:v>
                </c:pt>
                <c:pt idx="150">
                  <c:v>9</c:v>
                </c:pt>
                <c:pt idx="151">
                  <c:v>3</c:v>
                </c:pt>
                <c:pt idx="152">
                  <c:v>4</c:v>
                </c:pt>
                <c:pt idx="161">
                  <c:v>1</c:v>
                </c:pt>
                <c:pt idx="164">
                  <c:v>2</c:v>
                </c:pt>
                <c:pt idx="165">
                  <c:v>2</c:v>
                </c:pt>
                <c:pt idx="166">
                  <c:v>1</c:v>
                </c:pt>
                <c:pt idx="167">
                  <c:v>2</c:v>
                </c:pt>
                <c:pt idx="213">
                  <c:v>1</c:v>
                </c:pt>
                <c:pt idx="214">
                  <c:v>1</c:v>
                </c:pt>
                <c:pt idx="215">
                  <c:v>2</c:v>
                </c:pt>
                <c:pt idx="216">
                  <c:v>8</c:v>
                </c:pt>
                <c:pt idx="217">
                  <c:v>5</c:v>
                </c:pt>
                <c:pt idx="218">
                  <c:v>15</c:v>
                </c:pt>
                <c:pt idx="219">
                  <c:v>1</c:v>
                </c:pt>
                <c:pt idx="220">
                  <c:v>3</c:v>
                </c:pt>
                <c:pt idx="221">
                  <c:v>2</c:v>
                </c:pt>
                <c:pt idx="224">
                  <c:v>3</c:v>
                </c:pt>
                <c:pt idx="225">
                  <c:v>4</c:v>
                </c:pt>
                <c:pt idx="226">
                  <c:v>1</c:v>
                </c:pt>
                <c:pt idx="228">
                  <c:v>6</c:v>
                </c:pt>
                <c:pt idx="229">
                  <c:v>11</c:v>
                </c:pt>
                <c:pt idx="230">
                  <c:v>5</c:v>
                </c:pt>
                <c:pt idx="231">
                  <c:v>4</c:v>
                </c:pt>
                <c:pt idx="232">
                  <c:v>6</c:v>
                </c:pt>
                <c:pt idx="234">
                  <c:v>10</c:v>
                </c:pt>
                <c:pt idx="235">
                  <c:v>2</c:v>
                </c:pt>
                <c:pt idx="236">
                  <c:v>12</c:v>
                </c:pt>
                <c:pt idx="237">
                  <c:v>15</c:v>
                </c:pt>
                <c:pt idx="238">
                  <c:v>29</c:v>
                </c:pt>
                <c:pt idx="239">
                  <c:v>45</c:v>
                </c:pt>
                <c:pt idx="240">
                  <c:v>35</c:v>
                </c:pt>
                <c:pt idx="241">
                  <c:v>38</c:v>
                </c:pt>
                <c:pt idx="242">
                  <c:v>45</c:v>
                </c:pt>
                <c:pt idx="243">
                  <c:v>36</c:v>
                </c:pt>
                <c:pt idx="244">
                  <c:v>23</c:v>
                </c:pt>
                <c:pt idx="245">
                  <c:v>17</c:v>
                </c:pt>
                <c:pt idx="246">
                  <c:v>13</c:v>
                </c:pt>
                <c:pt idx="247">
                  <c:v>8</c:v>
                </c:pt>
                <c:pt idx="251">
                  <c:v>2</c:v>
                </c:pt>
                <c:pt idx="253">
                  <c:v>5</c:v>
                </c:pt>
                <c:pt idx="254">
                  <c:v>3</c:v>
                </c:pt>
                <c:pt idx="255">
                  <c:v>16</c:v>
                </c:pt>
                <c:pt idx="256">
                  <c:v>2</c:v>
                </c:pt>
                <c:pt idx="257">
                  <c:v>5</c:v>
                </c:pt>
                <c:pt idx="258">
                  <c:v>2</c:v>
                </c:pt>
                <c:pt idx="260">
                  <c:v>5</c:v>
                </c:pt>
                <c:pt idx="261">
                  <c:v>3</c:v>
                </c:pt>
                <c:pt idx="262">
                  <c:v>1</c:v>
                </c:pt>
                <c:pt idx="263">
                  <c:v>2</c:v>
                </c:pt>
                <c:pt idx="264">
                  <c:v>7</c:v>
                </c:pt>
                <c:pt idx="265">
                  <c:v>4</c:v>
                </c:pt>
                <c:pt idx="266">
                  <c:v>5</c:v>
                </c:pt>
                <c:pt idx="267">
                  <c:v>1</c:v>
                </c:pt>
                <c:pt idx="268">
                  <c:v>3</c:v>
                </c:pt>
                <c:pt idx="270">
                  <c:v>1</c:v>
                </c:pt>
                <c:pt idx="271">
                  <c:v>11</c:v>
                </c:pt>
                <c:pt idx="272">
                  <c:v>3</c:v>
                </c:pt>
                <c:pt idx="273">
                  <c:v>9</c:v>
                </c:pt>
                <c:pt idx="274">
                  <c:v>1</c:v>
                </c:pt>
                <c:pt idx="275">
                  <c:v>7</c:v>
                </c:pt>
                <c:pt idx="276">
                  <c:v>12</c:v>
                </c:pt>
                <c:pt idx="277">
                  <c:v>2</c:v>
                </c:pt>
                <c:pt idx="278">
                  <c:v>16</c:v>
                </c:pt>
                <c:pt idx="279">
                  <c:v>14</c:v>
                </c:pt>
                <c:pt idx="280">
                  <c:v>12</c:v>
                </c:pt>
                <c:pt idx="281">
                  <c:v>20</c:v>
                </c:pt>
                <c:pt idx="282">
                  <c:v>18</c:v>
                </c:pt>
                <c:pt idx="283">
                  <c:v>16</c:v>
                </c:pt>
                <c:pt idx="284">
                  <c:v>18</c:v>
                </c:pt>
                <c:pt idx="285">
                  <c:v>4</c:v>
                </c:pt>
                <c:pt idx="286">
                  <c:v>7</c:v>
                </c:pt>
                <c:pt idx="287">
                  <c:v>3</c:v>
                </c:pt>
                <c:pt idx="288">
                  <c:v>12</c:v>
                </c:pt>
                <c:pt idx="289">
                  <c:v>13</c:v>
                </c:pt>
                <c:pt idx="290">
                  <c:v>8</c:v>
                </c:pt>
                <c:pt idx="291">
                  <c:v>18</c:v>
                </c:pt>
                <c:pt idx="292">
                  <c:v>11</c:v>
                </c:pt>
                <c:pt idx="293">
                  <c:v>10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7</c:v>
                </c:pt>
                <c:pt idx="298">
                  <c:v>7</c:v>
                </c:pt>
                <c:pt idx="299">
                  <c:v>21</c:v>
                </c:pt>
                <c:pt idx="300">
                  <c:v>38</c:v>
                </c:pt>
                <c:pt idx="301">
                  <c:v>34</c:v>
                </c:pt>
                <c:pt idx="302">
                  <c:v>61</c:v>
                </c:pt>
                <c:pt idx="303">
                  <c:v>60</c:v>
                </c:pt>
                <c:pt idx="304">
                  <c:v>68</c:v>
                </c:pt>
                <c:pt idx="305">
                  <c:v>46</c:v>
                </c:pt>
                <c:pt idx="306">
                  <c:v>55</c:v>
                </c:pt>
                <c:pt idx="307">
                  <c:v>28</c:v>
                </c:pt>
                <c:pt idx="308">
                  <c:v>30</c:v>
                </c:pt>
                <c:pt idx="309">
                  <c:v>33</c:v>
                </c:pt>
                <c:pt idx="310">
                  <c:v>47</c:v>
                </c:pt>
                <c:pt idx="311">
                  <c:v>67</c:v>
                </c:pt>
                <c:pt idx="312">
                  <c:v>91</c:v>
                </c:pt>
                <c:pt idx="313">
                  <c:v>96</c:v>
                </c:pt>
                <c:pt idx="314">
                  <c:v>327</c:v>
                </c:pt>
                <c:pt idx="315">
                  <c:v>589</c:v>
                </c:pt>
                <c:pt idx="316">
                  <c:v>689</c:v>
                </c:pt>
                <c:pt idx="317">
                  <c:v>535</c:v>
                </c:pt>
                <c:pt idx="318">
                  <c:v>409</c:v>
                </c:pt>
                <c:pt idx="319">
                  <c:v>263</c:v>
                </c:pt>
                <c:pt idx="320">
                  <c:v>328</c:v>
                </c:pt>
                <c:pt idx="321">
                  <c:v>355</c:v>
                </c:pt>
                <c:pt idx="322">
                  <c:v>525</c:v>
                </c:pt>
                <c:pt idx="323">
                  <c:v>736</c:v>
                </c:pt>
                <c:pt idx="324">
                  <c:v>811</c:v>
                </c:pt>
                <c:pt idx="325">
                  <c:v>956</c:v>
                </c:pt>
                <c:pt idx="326">
                  <c:v>942</c:v>
                </c:pt>
                <c:pt idx="327">
                  <c:v>3374</c:v>
                </c:pt>
                <c:pt idx="328">
                  <c:v>1717</c:v>
                </c:pt>
                <c:pt idx="329">
                  <c:v>1622</c:v>
                </c:pt>
                <c:pt idx="330">
                  <c:v>986</c:v>
                </c:pt>
                <c:pt idx="331">
                  <c:v>700</c:v>
                </c:pt>
                <c:pt idx="332">
                  <c:v>487</c:v>
                </c:pt>
                <c:pt idx="333">
                  <c:v>452</c:v>
                </c:pt>
                <c:pt idx="334">
                  <c:v>374</c:v>
                </c:pt>
                <c:pt idx="335">
                  <c:v>361</c:v>
                </c:pt>
                <c:pt idx="336">
                  <c:v>211</c:v>
                </c:pt>
                <c:pt idx="337">
                  <c:v>196</c:v>
                </c:pt>
                <c:pt idx="338">
                  <c:v>184</c:v>
                </c:pt>
                <c:pt idx="339">
                  <c:v>154</c:v>
                </c:pt>
                <c:pt idx="340">
                  <c:v>149</c:v>
                </c:pt>
                <c:pt idx="341">
                  <c:v>136</c:v>
                </c:pt>
                <c:pt idx="342">
                  <c:v>136</c:v>
                </c:pt>
                <c:pt idx="343">
                  <c:v>127</c:v>
                </c:pt>
                <c:pt idx="344">
                  <c:v>127</c:v>
                </c:pt>
                <c:pt idx="345">
                  <c:v>127</c:v>
                </c:pt>
                <c:pt idx="3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083-449C-B8A0-4CAED72097A2}"/>
            </c:ext>
          </c:extLst>
        </c:ser>
        <c:ser>
          <c:idx val="16"/>
          <c:order val="16"/>
          <c:tx>
            <c:strRef>
              <c:f>[1]画图1!$R$1</c:f>
              <c:strCache>
                <c:ptCount val="1"/>
                <c:pt idx="0">
                  <c:v>江西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[1]画图1!$R$2:$R$348</c:f>
              <c:numCache>
                <c:formatCode>General</c:formatCode>
                <c:ptCount val="347"/>
                <c:pt idx="71">
                  <c:v>4</c:v>
                </c:pt>
                <c:pt idx="72">
                  <c:v>1</c:v>
                </c:pt>
                <c:pt idx="73">
                  <c:v>3</c:v>
                </c:pt>
                <c:pt idx="74">
                  <c:v>1</c:v>
                </c:pt>
                <c:pt idx="75">
                  <c:v>7</c:v>
                </c:pt>
                <c:pt idx="76">
                  <c:v>36</c:v>
                </c:pt>
                <c:pt idx="77">
                  <c:v>31</c:v>
                </c:pt>
                <c:pt idx="78">
                  <c:v>34</c:v>
                </c:pt>
                <c:pt idx="79">
                  <c:v>48</c:v>
                </c:pt>
                <c:pt idx="80">
                  <c:v>58</c:v>
                </c:pt>
                <c:pt idx="81">
                  <c:v>98</c:v>
                </c:pt>
                <c:pt idx="82">
                  <c:v>69</c:v>
                </c:pt>
                <c:pt idx="83">
                  <c:v>28</c:v>
                </c:pt>
                <c:pt idx="84">
                  <c:v>12</c:v>
                </c:pt>
                <c:pt idx="85">
                  <c:v>8</c:v>
                </c:pt>
                <c:pt idx="86">
                  <c:v>6</c:v>
                </c:pt>
                <c:pt idx="87">
                  <c:v>10</c:v>
                </c:pt>
                <c:pt idx="88">
                  <c:v>12</c:v>
                </c:pt>
                <c:pt idx="89">
                  <c:v>19</c:v>
                </c:pt>
                <c:pt idx="90">
                  <c:v>44</c:v>
                </c:pt>
                <c:pt idx="91">
                  <c:v>39</c:v>
                </c:pt>
                <c:pt idx="92">
                  <c:v>43</c:v>
                </c:pt>
                <c:pt idx="93">
                  <c:v>41</c:v>
                </c:pt>
                <c:pt idx="94">
                  <c:v>35</c:v>
                </c:pt>
                <c:pt idx="95">
                  <c:v>34</c:v>
                </c:pt>
                <c:pt idx="96">
                  <c:v>36</c:v>
                </c:pt>
                <c:pt idx="97">
                  <c:v>31</c:v>
                </c:pt>
                <c:pt idx="98">
                  <c:v>29</c:v>
                </c:pt>
                <c:pt idx="99">
                  <c:v>20</c:v>
                </c:pt>
                <c:pt idx="100">
                  <c:v>20</c:v>
                </c:pt>
                <c:pt idx="101">
                  <c:v>17</c:v>
                </c:pt>
                <c:pt idx="102">
                  <c:v>21</c:v>
                </c:pt>
                <c:pt idx="103">
                  <c:v>19</c:v>
                </c:pt>
                <c:pt idx="104">
                  <c:v>8</c:v>
                </c:pt>
                <c:pt idx="105">
                  <c:v>3</c:v>
                </c:pt>
                <c:pt idx="106">
                  <c:v>44</c:v>
                </c:pt>
                <c:pt idx="107">
                  <c:v>51</c:v>
                </c:pt>
                <c:pt idx="108">
                  <c:v>53</c:v>
                </c:pt>
                <c:pt idx="109">
                  <c:v>45</c:v>
                </c:pt>
                <c:pt idx="110">
                  <c:v>42</c:v>
                </c:pt>
                <c:pt idx="111">
                  <c:v>45</c:v>
                </c:pt>
                <c:pt idx="112">
                  <c:v>37</c:v>
                </c:pt>
                <c:pt idx="113">
                  <c:v>130</c:v>
                </c:pt>
                <c:pt idx="114">
                  <c:v>137</c:v>
                </c:pt>
                <c:pt idx="115">
                  <c:v>96</c:v>
                </c:pt>
                <c:pt idx="116">
                  <c:v>89</c:v>
                </c:pt>
                <c:pt idx="117">
                  <c:v>80</c:v>
                </c:pt>
                <c:pt idx="118">
                  <c:v>70</c:v>
                </c:pt>
                <c:pt idx="119">
                  <c:v>62</c:v>
                </c:pt>
                <c:pt idx="120">
                  <c:v>37</c:v>
                </c:pt>
                <c:pt idx="121">
                  <c:v>34</c:v>
                </c:pt>
                <c:pt idx="122">
                  <c:v>48</c:v>
                </c:pt>
                <c:pt idx="123">
                  <c:v>41</c:v>
                </c:pt>
                <c:pt idx="124">
                  <c:v>17</c:v>
                </c:pt>
                <c:pt idx="125">
                  <c:v>10</c:v>
                </c:pt>
                <c:pt idx="126">
                  <c:v>8</c:v>
                </c:pt>
                <c:pt idx="127">
                  <c:v>10</c:v>
                </c:pt>
                <c:pt idx="128">
                  <c:v>35</c:v>
                </c:pt>
                <c:pt idx="129">
                  <c:v>44</c:v>
                </c:pt>
                <c:pt idx="130">
                  <c:v>14</c:v>
                </c:pt>
                <c:pt idx="131">
                  <c:v>10</c:v>
                </c:pt>
                <c:pt idx="132">
                  <c:v>5</c:v>
                </c:pt>
                <c:pt idx="133">
                  <c:v>2</c:v>
                </c:pt>
                <c:pt idx="138">
                  <c:v>1</c:v>
                </c:pt>
                <c:pt idx="141">
                  <c:v>2</c:v>
                </c:pt>
                <c:pt idx="142">
                  <c:v>1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50">
                  <c:v>1</c:v>
                </c:pt>
                <c:pt idx="180">
                  <c:v>1</c:v>
                </c:pt>
                <c:pt idx="189">
                  <c:v>3</c:v>
                </c:pt>
                <c:pt idx="190">
                  <c:v>1</c:v>
                </c:pt>
                <c:pt idx="191">
                  <c:v>3</c:v>
                </c:pt>
                <c:pt idx="192">
                  <c:v>5</c:v>
                </c:pt>
                <c:pt idx="193">
                  <c:v>9</c:v>
                </c:pt>
                <c:pt idx="194">
                  <c:v>9</c:v>
                </c:pt>
                <c:pt idx="195">
                  <c:v>4</c:v>
                </c:pt>
                <c:pt idx="196">
                  <c:v>9</c:v>
                </c:pt>
                <c:pt idx="197">
                  <c:v>15</c:v>
                </c:pt>
                <c:pt idx="198">
                  <c:v>14</c:v>
                </c:pt>
                <c:pt idx="199">
                  <c:v>10</c:v>
                </c:pt>
                <c:pt idx="200">
                  <c:v>7</c:v>
                </c:pt>
                <c:pt idx="201">
                  <c:v>5</c:v>
                </c:pt>
                <c:pt idx="202">
                  <c:v>6</c:v>
                </c:pt>
                <c:pt idx="203">
                  <c:v>10</c:v>
                </c:pt>
                <c:pt idx="204">
                  <c:v>3</c:v>
                </c:pt>
                <c:pt idx="205">
                  <c:v>2</c:v>
                </c:pt>
                <c:pt idx="206">
                  <c:v>7</c:v>
                </c:pt>
                <c:pt idx="207">
                  <c:v>2</c:v>
                </c:pt>
                <c:pt idx="208">
                  <c:v>4</c:v>
                </c:pt>
                <c:pt idx="212">
                  <c:v>2</c:v>
                </c:pt>
                <c:pt idx="213">
                  <c:v>1</c:v>
                </c:pt>
                <c:pt idx="215">
                  <c:v>1</c:v>
                </c:pt>
                <c:pt idx="219">
                  <c:v>1</c:v>
                </c:pt>
                <c:pt idx="220">
                  <c:v>5</c:v>
                </c:pt>
                <c:pt idx="221">
                  <c:v>18</c:v>
                </c:pt>
                <c:pt idx="222">
                  <c:v>11</c:v>
                </c:pt>
                <c:pt idx="223">
                  <c:v>37</c:v>
                </c:pt>
                <c:pt idx="224">
                  <c:v>49</c:v>
                </c:pt>
                <c:pt idx="225">
                  <c:v>53</c:v>
                </c:pt>
                <c:pt idx="226">
                  <c:v>30</c:v>
                </c:pt>
                <c:pt idx="227">
                  <c:v>18</c:v>
                </c:pt>
                <c:pt idx="228">
                  <c:v>13</c:v>
                </c:pt>
                <c:pt idx="229">
                  <c:v>13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28</c:v>
                </c:pt>
                <c:pt idx="235">
                  <c:v>26</c:v>
                </c:pt>
                <c:pt idx="236">
                  <c:v>21</c:v>
                </c:pt>
                <c:pt idx="237">
                  <c:v>24</c:v>
                </c:pt>
                <c:pt idx="238">
                  <c:v>24</c:v>
                </c:pt>
                <c:pt idx="239">
                  <c:v>32</c:v>
                </c:pt>
                <c:pt idx="240">
                  <c:v>35</c:v>
                </c:pt>
                <c:pt idx="241">
                  <c:v>27</c:v>
                </c:pt>
                <c:pt idx="242">
                  <c:v>19</c:v>
                </c:pt>
                <c:pt idx="243">
                  <c:v>24</c:v>
                </c:pt>
                <c:pt idx="244">
                  <c:v>23</c:v>
                </c:pt>
                <c:pt idx="245">
                  <c:v>57</c:v>
                </c:pt>
                <c:pt idx="246">
                  <c:v>76</c:v>
                </c:pt>
                <c:pt idx="247">
                  <c:v>74</c:v>
                </c:pt>
                <c:pt idx="248">
                  <c:v>60</c:v>
                </c:pt>
                <c:pt idx="249">
                  <c:v>59</c:v>
                </c:pt>
                <c:pt idx="250">
                  <c:v>57</c:v>
                </c:pt>
                <c:pt idx="251">
                  <c:v>59</c:v>
                </c:pt>
                <c:pt idx="252">
                  <c:v>69</c:v>
                </c:pt>
                <c:pt idx="253">
                  <c:v>60</c:v>
                </c:pt>
                <c:pt idx="254">
                  <c:v>53</c:v>
                </c:pt>
                <c:pt idx="255">
                  <c:v>57</c:v>
                </c:pt>
                <c:pt idx="256">
                  <c:v>53</c:v>
                </c:pt>
                <c:pt idx="257">
                  <c:v>39</c:v>
                </c:pt>
                <c:pt idx="258">
                  <c:v>9</c:v>
                </c:pt>
                <c:pt idx="259">
                  <c:v>5</c:v>
                </c:pt>
                <c:pt idx="260">
                  <c:v>4</c:v>
                </c:pt>
                <c:pt idx="261">
                  <c:v>2</c:v>
                </c:pt>
                <c:pt idx="262">
                  <c:v>1</c:v>
                </c:pt>
                <c:pt idx="266">
                  <c:v>1</c:v>
                </c:pt>
                <c:pt idx="267">
                  <c:v>3</c:v>
                </c:pt>
                <c:pt idx="268">
                  <c:v>5</c:v>
                </c:pt>
                <c:pt idx="269">
                  <c:v>4</c:v>
                </c:pt>
                <c:pt idx="270">
                  <c:v>4</c:v>
                </c:pt>
                <c:pt idx="271">
                  <c:v>1</c:v>
                </c:pt>
                <c:pt idx="272">
                  <c:v>1</c:v>
                </c:pt>
                <c:pt idx="273">
                  <c:v>2</c:v>
                </c:pt>
                <c:pt idx="277">
                  <c:v>3</c:v>
                </c:pt>
                <c:pt idx="279">
                  <c:v>2</c:v>
                </c:pt>
                <c:pt idx="281">
                  <c:v>4</c:v>
                </c:pt>
                <c:pt idx="285">
                  <c:v>1</c:v>
                </c:pt>
                <c:pt idx="287">
                  <c:v>1</c:v>
                </c:pt>
                <c:pt idx="290">
                  <c:v>3</c:v>
                </c:pt>
                <c:pt idx="291">
                  <c:v>5</c:v>
                </c:pt>
                <c:pt idx="292">
                  <c:v>2</c:v>
                </c:pt>
                <c:pt idx="296">
                  <c:v>1</c:v>
                </c:pt>
                <c:pt idx="297">
                  <c:v>1</c:v>
                </c:pt>
                <c:pt idx="298">
                  <c:v>2</c:v>
                </c:pt>
                <c:pt idx="299">
                  <c:v>1</c:v>
                </c:pt>
                <c:pt idx="300">
                  <c:v>2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8">
                  <c:v>2</c:v>
                </c:pt>
                <c:pt idx="309">
                  <c:v>4</c:v>
                </c:pt>
                <c:pt idx="310">
                  <c:v>5</c:v>
                </c:pt>
                <c:pt idx="311">
                  <c:v>9</c:v>
                </c:pt>
                <c:pt idx="312">
                  <c:v>12</c:v>
                </c:pt>
                <c:pt idx="313">
                  <c:v>10</c:v>
                </c:pt>
                <c:pt idx="314">
                  <c:v>11</c:v>
                </c:pt>
                <c:pt idx="315">
                  <c:v>13</c:v>
                </c:pt>
                <c:pt idx="316">
                  <c:v>12</c:v>
                </c:pt>
                <c:pt idx="317">
                  <c:v>19</c:v>
                </c:pt>
                <c:pt idx="318">
                  <c:v>20</c:v>
                </c:pt>
                <c:pt idx="319">
                  <c:v>19</c:v>
                </c:pt>
                <c:pt idx="320">
                  <c:v>15</c:v>
                </c:pt>
                <c:pt idx="321">
                  <c:v>21</c:v>
                </c:pt>
                <c:pt idx="322">
                  <c:v>14</c:v>
                </c:pt>
                <c:pt idx="323">
                  <c:v>19</c:v>
                </c:pt>
                <c:pt idx="324">
                  <c:v>4</c:v>
                </c:pt>
                <c:pt idx="325">
                  <c:v>56</c:v>
                </c:pt>
                <c:pt idx="326">
                  <c:v>73</c:v>
                </c:pt>
                <c:pt idx="327">
                  <c:v>69</c:v>
                </c:pt>
                <c:pt idx="328">
                  <c:v>107</c:v>
                </c:pt>
                <c:pt idx="329">
                  <c:v>93</c:v>
                </c:pt>
                <c:pt idx="330">
                  <c:v>66</c:v>
                </c:pt>
                <c:pt idx="331">
                  <c:v>57</c:v>
                </c:pt>
                <c:pt idx="332">
                  <c:v>71</c:v>
                </c:pt>
                <c:pt idx="333">
                  <c:v>81</c:v>
                </c:pt>
                <c:pt idx="334">
                  <c:v>67</c:v>
                </c:pt>
                <c:pt idx="335">
                  <c:v>106</c:v>
                </c:pt>
                <c:pt idx="336">
                  <c:v>191</c:v>
                </c:pt>
                <c:pt idx="337">
                  <c:v>172</c:v>
                </c:pt>
                <c:pt idx="338">
                  <c:v>101</c:v>
                </c:pt>
                <c:pt idx="339">
                  <c:v>78</c:v>
                </c:pt>
                <c:pt idx="340">
                  <c:v>44</c:v>
                </c:pt>
                <c:pt idx="341">
                  <c:v>35</c:v>
                </c:pt>
                <c:pt idx="342">
                  <c:v>27</c:v>
                </c:pt>
                <c:pt idx="343">
                  <c:v>1</c:v>
                </c:pt>
                <c:pt idx="344">
                  <c:v>3</c:v>
                </c:pt>
                <c:pt idx="34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083-449C-B8A0-4CAED72097A2}"/>
            </c:ext>
          </c:extLst>
        </c:ser>
        <c:ser>
          <c:idx val="17"/>
          <c:order val="17"/>
          <c:tx>
            <c:strRef>
              <c:f>[1]画图1!$S$1</c:f>
              <c:strCache>
                <c:ptCount val="1"/>
                <c:pt idx="0">
                  <c:v>吉林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[1]画图1!$S$2:$S$348</c:f>
              <c:numCache>
                <c:formatCode>General</c:formatCode>
                <c:ptCount val="347"/>
                <c:pt idx="195">
                  <c:v>3</c:v>
                </c:pt>
                <c:pt idx="196">
                  <c:v>6</c:v>
                </c:pt>
                <c:pt idx="197">
                  <c:v>8</c:v>
                </c:pt>
                <c:pt idx="198">
                  <c:v>9</c:v>
                </c:pt>
                <c:pt idx="199">
                  <c:v>8</c:v>
                </c:pt>
                <c:pt idx="200">
                  <c:v>7</c:v>
                </c:pt>
                <c:pt idx="201">
                  <c:v>2</c:v>
                </c:pt>
                <c:pt idx="214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5</c:v>
                </c:pt>
                <c:pt idx="221">
                  <c:v>1</c:v>
                </c:pt>
                <c:pt idx="233">
                  <c:v>1</c:v>
                </c:pt>
                <c:pt idx="243">
                  <c:v>41</c:v>
                </c:pt>
                <c:pt idx="244">
                  <c:v>33</c:v>
                </c:pt>
                <c:pt idx="245">
                  <c:v>88</c:v>
                </c:pt>
                <c:pt idx="246">
                  <c:v>26</c:v>
                </c:pt>
                <c:pt idx="247">
                  <c:v>19</c:v>
                </c:pt>
                <c:pt idx="248">
                  <c:v>6</c:v>
                </c:pt>
                <c:pt idx="249">
                  <c:v>6</c:v>
                </c:pt>
                <c:pt idx="250">
                  <c:v>2</c:v>
                </c:pt>
                <c:pt idx="251">
                  <c:v>6</c:v>
                </c:pt>
                <c:pt idx="252">
                  <c:v>4</c:v>
                </c:pt>
                <c:pt idx="253">
                  <c:v>1</c:v>
                </c:pt>
                <c:pt idx="276">
                  <c:v>1</c:v>
                </c:pt>
                <c:pt idx="277">
                  <c:v>7</c:v>
                </c:pt>
                <c:pt idx="278">
                  <c:v>7</c:v>
                </c:pt>
                <c:pt idx="279">
                  <c:v>9</c:v>
                </c:pt>
                <c:pt idx="280">
                  <c:v>7</c:v>
                </c:pt>
                <c:pt idx="281">
                  <c:v>5</c:v>
                </c:pt>
                <c:pt idx="282">
                  <c:v>14</c:v>
                </c:pt>
                <c:pt idx="283">
                  <c:v>10</c:v>
                </c:pt>
                <c:pt idx="284">
                  <c:v>8</c:v>
                </c:pt>
                <c:pt idx="285">
                  <c:v>32</c:v>
                </c:pt>
                <c:pt idx="286">
                  <c:v>21</c:v>
                </c:pt>
                <c:pt idx="287">
                  <c:v>9</c:v>
                </c:pt>
                <c:pt idx="288">
                  <c:v>1</c:v>
                </c:pt>
                <c:pt idx="289">
                  <c:v>3</c:v>
                </c:pt>
                <c:pt idx="290">
                  <c:v>1</c:v>
                </c:pt>
                <c:pt idx="295">
                  <c:v>2</c:v>
                </c:pt>
                <c:pt idx="302">
                  <c:v>1</c:v>
                </c:pt>
                <c:pt idx="304">
                  <c:v>1</c:v>
                </c:pt>
                <c:pt idx="305">
                  <c:v>11</c:v>
                </c:pt>
                <c:pt idx="306">
                  <c:v>8</c:v>
                </c:pt>
                <c:pt idx="307">
                  <c:v>6</c:v>
                </c:pt>
                <c:pt idx="308">
                  <c:v>6</c:v>
                </c:pt>
                <c:pt idx="309">
                  <c:v>10</c:v>
                </c:pt>
                <c:pt idx="310">
                  <c:v>6</c:v>
                </c:pt>
                <c:pt idx="311">
                  <c:v>2</c:v>
                </c:pt>
                <c:pt idx="312">
                  <c:v>6</c:v>
                </c:pt>
                <c:pt idx="313">
                  <c:v>5</c:v>
                </c:pt>
                <c:pt idx="314">
                  <c:v>3</c:v>
                </c:pt>
                <c:pt idx="315">
                  <c:v>2</c:v>
                </c:pt>
                <c:pt idx="316">
                  <c:v>1</c:v>
                </c:pt>
                <c:pt idx="318">
                  <c:v>23</c:v>
                </c:pt>
                <c:pt idx="319">
                  <c:v>70</c:v>
                </c:pt>
                <c:pt idx="320">
                  <c:v>72</c:v>
                </c:pt>
                <c:pt idx="321">
                  <c:v>56</c:v>
                </c:pt>
                <c:pt idx="322">
                  <c:v>184</c:v>
                </c:pt>
                <c:pt idx="323">
                  <c:v>216</c:v>
                </c:pt>
                <c:pt idx="324">
                  <c:v>312</c:v>
                </c:pt>
                <c:pt idx="325">
                  <c:v>398</c:v>
                </c:pt>
                <c:pt idx="326">
                  <c:v>319</c:v>
                </c:pt>
                <c:pt idx="327">
                  <c:v>578</c:v>
                </c:pt>
                <c:pt idx="328">
                  <c:v>622</c:v>
                </c:pt>
                <c:pt idx="329">
                  <c:v>1207</c:v>
                </c:pt>
                <c:pt idx="330">
                  <c:v>1586</c:v>
                </c:pt>
                <c:pt idx="331">
                  <c:v>832</c:v>
                </c:pt>
                <c:pt idx="332">
                  <c:v>802</c:v>
                </c:pt>
                <c:pt idx="333">
                  <c:v>732</c:v>
                </c:pt>
                <c:pt idx="334">
                  <c:v>487</c:v>
                </c:pt>
                <c:pt idx="335">
                  <c:v>427</c:v>
                </c:pt>
                <c:pt idx="336">
                  <c:v>376</c:v>
                </c:pt>
                <c:pt idx="337">
                  <c:v>362</c:v>
                </c:pt>
                <c:pt idx="338">
                  <c:v>269</c:v>
                </c:pt>
                <c:pt idx="339">
                  <c:v>223</c:v>
                </c:pt>
                <c:pt idx="340">
                  <c:v>194</c:v>
                </c:pt>
                <c:pt idx="341">
                  <c:v>161</c:v>
                </c:pt>
                <c:pt idx="342">
                  <c:v>173</c:v>
                </c:pt>
                <c:pt idx="343">
                  <c:v>107</c:v>
                </c:pt>
                <c:pt idx="344">
                  <c:v>60</c:v>
                </c:pt>
                <c:pt idx="345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083-449C-B8A0-4CAED72097A2}"/>
            </c:ext>
          </c:extLst>
        </c:ser>
        <c:ser>
          <c:idx val="18"/>
          <c:order val="18"/>
          <c:tx>
            <c:strRef>
              <c:f>[1]画图1!$T$1</c:f>
              <c:strCache>
                <c:ptCount val="1"/>
                <c:pt idx="0">
                  <c:v>辽宁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[1]画图1!$T$2:$T$348</c:f>
              <c:numCache>
                <c:formatCode>General</c:formatCode>
                <c:ptCount val="347"/>
                <c:pt idx="38">
                  <c:v>1</c:v>
                </c:pt>
                <c:pt idx="39">
                  <c:v>0</c:v>
                </c:pt>
                <c:pt idx="40">
                  <c:v>23</c:v>
                </c:pt>
                <c:pt idx="41">
                  <c:v>12</c:v>
                </c:pt>
                <c:pt idx="42">
                  <c:v>11</c:v>
                </c:pt>
                <c:pt idx="43">
                  <c:v>18</c:v>
                </c:pt>
                <c:pt idx="44">
                  <c:v>29</c:v>
                </c:pt>
                <c:pt idx="45">
                  <c:v>15</c:v>
                </c:pt>
                <c:pt idx="46">
                  <c:v>7</c:v>
                </c:pt>
                <c:pt idx="47">
                  <c:v>9</c:v>
                </c:pt>
                <c:pt idx="48">
                  <c:v>8</c:v>
                </c:pt>
                <c:pt idx="49">
                  <c:v>9</c:v>
                </c:pt>
                <c:pt idx="50">
                  <c:v>7</c:v>
                </c:pt>
                <c:pt idx="51">
                  <c:v>6</c:v>
                </c:pt>
                <c:pt idx="52">
                  <c:v>9</c:v>
                </c:pt>
                <c:pt idx="53">
                  <c:v>8</c:v>
                </c:pt>
                <c:pt idx="54">
                  <c:v>18</c:v>
                </c:pt>
                <c:pt idx="55">
                  <c:v>10</c:v>
                </c:pt>
                <c:pt idx="56">
                  <c:v>6</c:v>
                </c:pt>
                <c:pt idx="57">
                  <c:v>1</c:v>
                </c:pt>
                <c:pt idx="58">
                  <c:v>0</c:v>
                </c:pt>
                <c:pt idx="59">
                  <c:v>2</c:v>
                </c:pt>
                <c:pt idx="64">
                  <c:v>3</c:v>
                </c:pt>
                <c:pt idx="65">
                  <c:v>8</c:v>
                </c:pt>
                <c:pt idx="66">
                  <c:v>2</c:v>
                </c:pt>
                <c:pt idx="67">
                  <c:v>3</c:v>
                </c:pt>
                <c:pt idx="68">
                  <c:v>3</c:v>
                </c:pt>
                <c:pt idx="69">
                  <c:v>2</c:v>
                </c:pt>
                <c:pt idx="70">
                  <c:v>3</c:v>
                </c:pt>
                <c:pt idx="71">
                  <c:v>9</c:v>
                </c:pt>
                <c:pt idx="72">
                  <c:v>33</c:v>
                </c:pt>
                <c:pt idx="73">
                  <c:v>44</c:v>
                </c:pt>
                <c:pt idx="74">
                  <c:v>156</c:v>
                </c:pt>
                <c:pt idx="75">
                  <c:v>125</c:v>
                </c:pt>
                <c:pt idx="76">
                  <c:v>128</c:v>
                </c:pt>
                <c:pt idx="77">
                  <c:v>160</c:v>
                </c:pt>
                <c:pt idx="78">
                  <c:v>144</c:v>
                </c:pt>
                <c:pt idx="79">
                  <c:v>246</c:v>
                </c:pt>
                <c:pt idx="80">
                  <c:v>150</c:v>
                </c:pt>
                <c:pt idx="81">
                  <c:v>143</c:v>
                </c:pt>
                <c:pt idx="82">
                  <c:v>186</c:v>
                </c:pt>
                <c:pt idx="83">
                  <c:v>145</c:v>
                </c:pt>
                <c:pt idx="84">
                  <c:v>106</c:v>
                </c:pt>
                <c:pt idx="85">
                  <c:v>125</c:v>
                </c:pt>
                <c:pt idx="86">
                  <c:v>73</c:v>
                </c:pt>
                <c:pt idx="87">
                  <c:v>55</c:v>
                </c:pt>
                <c:pt idx="88">
                  <c:v>49</c:v>
                </c:pt>
                <c:pt idx="89">
                  <c:v>61</c:v>
                </c:pt>
                <c:pt idx="90">
                  <c:v>56</c:v>
                </c:pt>
                <c:pt idx="91">
                  <c:v>45</c:v>
                </c:pt>
                <c:pt idx="92">
                  <c:v>39</c:v>
                </c:pt>
                <c:pt idx="93">
                  <c:v>57</c:v>
                </c:pt>
                <c:pt idx="94">
                  <c:v>49</c:v>
                </c:pt>
                <c:pt idx="95">
                  <c:v>22</c:v>
                </c:pt>
                <c:pt idx="96">
                  <c:v>37</c:v>
                </c:pt>
                <c:pt idx="97">
                  <c:v>25</c:v>
                </c:pt>
                <c:pt idx="98">
                  <c:v>12</c:v>
                </c:pt>
                <c:pt idx="99">
                  <c:v>12</c:v>
                </c:pt>
                <c:pt idx="100">
                  <c:v>25</c:v>
                </c:pt>
                <c:pt idx="101">
                  <c:v>32</c:v>
                </c:pt>
                <c:pt idx="102">
                  <c:v>33</c:v>
                </c:pt>
                <c:pt idx="103">
                  <c:v>21</c:v>
                </c:pt>
                <c:pt idx="104">
                  <c:v>28</c:v>
                </c:pt>
                <c:pt idx="105">
                  <c:v>8</c:v>
                </c:pt>
                <c:pt idx="106">
                  <c:v>9</c:v>
                </c:pt>
                <c:pt idx="107">
                  <c:v>17</c:v>
                </c:pt>
                <c:pt idx="108">
                  <c:v>9</c:v>
                </c:pt>
                <c:pt idx="109">
                  <c:v>6</c:v>
                </c:pt>
                <c:pt idx="110">
                  <c:v>4</c:v>
                </c:pt>
                <c:pt idx="111">
                  <c:v>2</c:v>
                </c:pt>
                <c:pt idx="112">
                  <c:v>5</c:v>
                </c:pt>
                <c:pt idx="113">
                  <c:v>3</c:v>
                </c:pt>
                <c:pt idx="114">
                  <c:v>64</c:v>
                </c:pt>
                <c:pt idx="115">
                  <c:v>102</c:v>
                </c:pt>
                <c:pt idx="116">
                  <c:v>55</c:v>
                </c:pt>
                <c:pt idx="117">
                  <c:v>91</c:v>
                </c:pt>
                <c:pt idx="118">
                  <c:v>85</c:v>
                </c:pt>
                <c:pt idx="119">
                  <c:v>47</c:v>
                </c:pt>
                <c:pt idx="120">
                  <c:v>96</c:v>
                </c:pt>
                <c:pt idx="121">
                  <c:v>82</c:v>
                </c:pt>
                <c:pt idx="122">
                  <c:v>128</c:v>
                </c:pt>
                <c:pt idx="123">
                  <c:v>100</c:v>
                </c:pt>
                <c:pt idx="124">
                  <c:v>61</c:v>
                </c:pt>
                <c:pt idx="125">
                  <c:v>99</c:v>
                </c:pt>
                <c:pt idx="126">
                  <c:v>85</c:v>
                </c:pt>
                <c:pt idx="127">
                  <c:v>50</c:v>
                </c:pt>
                <c:pt idx="128">
                  <c:v>53</c:v>
                </c:pt>
                <c:pt idx="129">
                  <c:v>60</c:v>
                </c:pt>
                <c:pt idx="130">
                  <c:v>85</c:v>
                </c:pt>
                <c:pt idx="131">
                  <c:v>58</c:v>
                </c:pt>
                <c:pt idx="132">
                  <c:v>33</c:v>
                </c:pt>
                <c:pt idx="133">
                  <c:v>18</c:v>
                </c:pt>
                <c:pt idx="134">
                  <c:v>11</c:v>
                </c:pt>
                <c:pt idx="135">
                  <c:v>0</c:v>
                </c:pt>
                <c:pt idx="136">
                  <c:v>1</c:v>
                </c:pt>
                <c:pt idx="137">
                  <c:v>3</c:v>
                </c:pt>
                <c:pt idx="138">
                  <c:v>2</c:v>
                </c:pt>
                <c:pt idx="139">
                  <c:v>4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11</c:v>
                </c:pt>
                <c:pt idx="144">
                  <c:v>6</c:v>
                </c:pt>
                <c:pt idx="145">
                  <c:v>9</c:v>
                </c:pt>
                <c:pt idx="146">
                  <c:v>11</c:v>
                </c:pt>
                <c:pt idx="147">
                  <c:v>8</c:v>
                </c:pt>
                <c:pt idx="148">
                  <c:v>5</c:v>
                </c:pt>
                <c:pt idx="149">
                  <c:v>12</c:v>
                </c:pt>
                <c:pt idx="150">
                  <c:v>4</c:v>
                </c:pt>
                <c:pt idx="151">
                  <c:v>4</c:v>
                </c:pt>
                <c:pt idx="152">
                  <c:v>7</c:v>
                </c:pt>
                <c:pt idx="153">
                  <c:v>26</c:v>
                </c:pt>
                <c:pt idx="154">
                  <c:v>25</c:v>
                </c:pt>
                <c:pt idx="155">
                  <c:v>13</c:v>
                </c:pt>
                <c:pt idx="156">
                  <c:v>19</c:v>
                </c:pt>
                <c:pt idx="157">
                  <c:v>5</c:v>
                </c:pt>
                <c:pt idx="158">
                  <c:v>5</c:v>
                </c:pt>
                <c:pt idx="159">
                  <c:v>8</c:v>
                </c:pt>
                <c:pt idx="160">
                  <c:v>6</c:v>
                </c:pt>
                <c:pt idx="161">
                  <c:v>5</c:v>
                </c:pt>
                <c:pt idx="162">
                  <c:v>1</c:v>
                </c:pt>
                <c:pt idx="163">
                  <c:v>5</c:v>
                </c:pt>
                <c:pt idx="164">
                  <c:v>6</c:v>
                </c:pt>
                <c:pt idx="165">
                  <c:v>6</c:v>
                </c:pt>
                <c:pt idx="166">
                  <c:v>9</c:v>
                </c:pt>
                <c:pt idx="167">
                  <c:v>6</c:v>
                </c:pt>
                <c:pt idx="168">
                  <c:v>4</c:v>
                </c:pt>
                <c:pt idx="169">
                  <c:v>2</c:v>
                </c:pt>
                <c:pt idx="170">
                  <c:v>6</c:v>
                </c:pt>
                <c:pt idx="171">
                  <c:v>4</c:v>
                </c:pt>
                <c:pt idx="172">
                  <c:v>5</c:v>
                </c:pt>
                <c:pt idx="173">
                  <c:v>7</c:v>
                </c:pt>
                <c:pt idx="174">
                  <c:v>8</c:v>
                </c:pt>
                <c:pt idx="175">
                  <c:v>7</c:v>
                </c:pt>
                <c:pt idx="176">
                  <c:v>6</c:v>
                </c:pt>
                <c:pt idx="177">
                  <c:v>4</c:v>
                </c:pt>
                <c:pt idx="178">
                  <c:v>3</c:v>
                </c:pt>
                <c:pt idx="179">
                  <c:v>7</c:v>
                </c:pt>
                <c:pt idx="180">
                  <c:v>7</c:v>
                </c:pt>
                <c:pt idx="181">
                  <c:v>8</c:v>
                </c:pt>
                <c:pt idx="182">
                  <c:v>7</c:v>
                </c:pt>
                <c:pt idx="183">
                  <c:v>9</c:v>
                </c:pt>
                <c:pt idx="184">
                  <c:v>1</c:v>
                </c:pt>
                <c:pt idx="186">
                  <c:v>1</c:v>
                </c:pt>
                <c:pt idx="197">
                  <c:v>2</c:v>
                </c:pt>
                <c:pt idx="203">
                  <c:v>1</c:v>
                </c:pt>
                <c:pt idx="230">
                  <c:v>5</c:v>
                </c:pt>
                <c:pt idx="231">
                  <c:v>12</c:v>
                </c:pt>
                <c:pt idx="232">
                  <c:v>4</c:v>
                </c:pt>
                <c:pt idx="233">
                  <c:v>2</c:v>
                </c:pt>
                <c:pt idx="234">
                  <c:v>11</c:v>
                </c:pt>
                <c:pt idx="235">
                  <c:v>9</c:v>
                </c:pt>
                <c:pt idx="236">
                  <c:v>11</c:v>
                </c:pt>
                <c:pt idx="237">
                  <c:v>9</c:v>
                </c:pt>
                <c:pt idx="238">
                  <c:v>10</c:v>
                </c:pt>
                <c:pt idx="239">
                  <c:v>28</c:v>
                </c:pt>
                <c:pt idx="240">
                  <c:v>51</c:v>
                </c:pt>
                <c:pt idx="241">
                  <c:v>75</c:v>
                </c:pt>
                <c:pt idx="242">
                  <c:v>116</c:v>
                </c:pt>
                <c:pt idx="243">
                  <c:v>116</c:v>
                </c:pt>
                <c:pt idx="244">
                  <c:v>123</c:v>
                </c:pt>
                <c:pt idx="245">
                  <c:v>124</c:v>
                </c:pt>
                <c:pt idx="246">
                  <c:v>103</c:v>
                </c:pt>
                <c:pt idx="247">
                  <c:v>91</c:v>
                </c:pt>
                <c:pt idx="248">
                  <c:v>79</c:v>
                </c:pt>
                <c:pt idx="249">
                  <c:v>74</c:v>
                </c:pt>
                <c:pt idx="250">
                  <c:v>79</c:v>
                </c:pt>
                <c:pt idx="251">
                  <c:v>56</c:v>
                </c:pt>
                <c:pt idx="252">
                  <c:v>38</c:v>
                </c:pt>
                <c:pt idx="253">
                  <c:v>28</c:v>
                </c:pt>
                <c:pt idx="254">
                  <c:v>25</c:v>
                </c:pt>
                <c:pt idx="255">
                  <c:v>10</c:v>
                </c:pt>
                <c:pt idx="256">
                  <c:v>8</c:v>
                </c:pt>
                <c:pt idx="257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6</c:v>
                </c:pt>
                <c:pt idx="278">
                  <c:v>2</c:v>
                </c:pt>
                <c:pt idx="279">
                  <c:v>5</c:v>
                </c:pt>
                <c:pt idx="280">
                  <c:v>23</c:v>
                </c:pt>
                <c:pt idx="281">
                  <c:v>30</c:v>
                </c:pt>
                <c:pt idx="282">
                  <c:v>25</c:v>
                </c:pt>
                <c:pt idx="283">
                  <c:v>42</c:v>
                </c:pt>
                <c:pt idx="284">
                  <c:v>48</c:v>
                </c:pt>
                <c:pt idx="285">
                  <c:v>33</c:v>
                </c:pt>
                <c:pt idx="286">
                  <c:v>23</c:v>
                </c:pt>
                <c:pt idx="287">
                  <c:v>10</c:v>
                </c:pt>
                <c:pt idx="288">
                  <c:v>8</c:v>
                </c:pt>
                <c:pt idx="289">
                  <c:v>6</c:v>
                </c:pt>
                <c:pt idx="290">
                  <c:v>3</c:v>
                </c:pt>
                <c:pt idx="291">
                  <c:v>4</c:v>
                </c:pt>
                <c:pt idx="295">
                  <c:v>2</c:v>
                </c:pt>
                <c:pt idx="297">
                  <c:v>2</c:v>
                </c:pt>
                <c:pt idx="299">
                  <c:v>3</c:v>
                </c:pt>
                <c:pt idx="300">
                  <c:v>5</c:v>
                </c:pt>
                <c:pt idx="301">
                  <c:v>7</c:v>
                </c:pt>
                <c:pt idx="302">
                  <c:v>7</c:v>
                </c:pt>
                <c:pt idx="303">
                  <c:v>17</c:v>
                </c:pt>
                <c:pt idx="304">
                  <c:v>27</c:v>
                </c:pt>
                <c:pt idx="305">
                  <c:v>23</c:v>
                </c:pt>
                <c:pt idx="306">
                  <c:v>25</c:v>
                </c:pt>
                <c:pt idx="307">
                  <c:v>23</c:v>
                </c:pt>
                <c:pt idx="308">
                  <c:v>20</c:v>
                </c:pt>
                <c:pt idx="309">
                  <c:v>13</c:v>
                </c:pt>
                <c:pt idx="310">
                  <c:v>14</c:v>
                </c:pt>
                <c:pt idx="311">
                  <c:v>18</c:v>
                </c:pt>
                <c:pt idx="312">
                  <c:v>20</c:v>
                </c:pt>
                <c:pt idx="313">
                  <c:v>19</c:v>
                </c:pt>
                <c:pt idx="314">
                  <c:v>29</c:v>
                </c:pt>
                <c:pt idx="315">
                  <c:v>18</c:v>
                </c:pt>
                <c:pt idx="316">
                  <c:v>18</c:v>
                </c:pt>
                <c:pt idx="317">
                  <c:v>20</c:v>
                </c:pt>
                <c:pt idx="318">
                  <c:v>28</c:v>
                </c:pt>
                <c:pt idx="319">
                  <c:v>18</c:v>
                </c:pt>
                <c:pt idx="320">
                  <c:v>24</c:v>
                </c:pt>
                <c:pt idx="321">
                  <c:v>55</c:v>
                </c:pt>
                <c:pt idx="322">
                  <c:v>69</c:v>
                </c:pt>
                <c:pt idx="323">
                  <c:v>85</c:v>
                </c:pt>
                <c:pt idx="324">
                  <c:v>102</c:v>
                </c:pt>
                <c:pt idx="325">
                  <c:v>137</c:v>
                </c:pt>
                <c:pt idx="326">
                  <c:v>302</c:v>
                </c:pt>
                <c:pt idx="327">
                  <c:v>418</c:v>
                </c:pt>
                <c:pt idx="328">
                  <c:v>527</c:v>
                </c:pt>
                <c:pt idx="329">
                  <c:v>590</c:v>
                </c:pt>
                <c:pt idx="330">
                  <c:v>475</c:v>
                </c:pt>
                <c:pt idx="331">
                  <c:v>566</c:v>
                </c:pt>
                <c:pt idx="332">
                  <c:v>612</c:v>
                </c:pt>
                <c:pt idx="333">
                  <c:v>559</c:v>
                </c:pt>
                <c:pt idx="334">
                  <c:v>556</c:v>
                </c:pt>
                <c:pt idx="335">
                  <c:v>503</c:v>
                </c:pt>
                <c:pt idx="336">
                  <c:v>447</c:v>
                </c:pt>
                <c:pt idx="337">
                  <c:v>390</c:v>
                </c:pt>
                <c:pt idx="338">
                  <c:v>324</c:v>
                </c:pt>
                <c:pt idx="339">
                  <c:v>290</c:v>
                </c:pt>
                <c:pt idx="340">
                  <c:v>289</c:v>
                </c:pt>
                <c:pt idx="341">
                  <c:v>209</c:v>
                </c:pt>
                <c:pt idx="342">
                  <c:v>153</c:v>
                </c:pt>
                <c:pt idx="343">
                  <c:v>96</c:v>
                </c:pt>
                <c:pt idx="344">
                  <c:v>72</c:v>
                </c:pt>
                <c:pt idx="345">
                  <c:v>50</c:v>
                </c:pt>
                <c:pt idx="34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083-449C-B8A0-4CAED72097A2}"/>
            </c:ext>
          </c:extLst>
        </c:ser>
        <c:ser>
          <c:idx val="19"/>
          <c:order val="19"/>
          <c:tx>
            <c:strRef>
              <c:f>[1]画图1!$U$1</c:f>
              <c:strCache>
                <c:ptCount val="1"/>
                <c:pt idx="0">
                  <c:v>宁夏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[1]画图1!$U$2:$U$348</c:f>
              <c:numCache>
                <c:formatCode>General</c:formatCode>
                <c:ptCount val="347"/>
                <c:pt idx="117">
                  <c:v>1</c:v>
                </c:pt>
                <c:pt idx="215">
                  <c:v>1</c:v>
                </c:pt>
                <c:pt idx="228">
                  <c:v>3</c:v>
                </c:pt>
                <c:pt idx="230">
                  <c:v>1</c:v>
                </c:pt>
                <c:pt idx="231">
                  <c:v>1</c:v>
                </c:pt>
                <c:pt idx="236">
                  <c:v>1</c:v>
                </c:pt>
                <c:pt idx="237">
                  <c:v>1</c:v>
                </c:pt>
                <c:pt idx="262">
                  <c:v>4</c:v>
                </c:pt>
                <c:pt idx="263">
                  <c:v>19</c:v>
                </c:pt>
                <c:pt idx="264">
                  <c:v>59</c:v>
                </c:pt>
                <c:pt idx="265">
                  <c:v>121</c:v>
                </c:pt>
                <c:pt idx="266">
                  <c:v>172</c:v>
                </c:pt>
                <c:pt idx="267">
                  <c:v>186</c:v>
                </c:pt>
                <c:pt idx="268">
                  <c:v>234</c:v>
                </c:pt>
                <c:pt idx="269">
                  <c:v>209</c:v>
                </c:pt>
                <c:pt idx="270">
                  <c:v>191</c:v>
                </c:pt>
                <c:pt idx="271">
                  <c:v>176</c:v>
                </c:pt>
                <c:pt idx="272">
                  <c:v>168</c:v>
                </c:pt>
                <c:pt idx="273">
                  <c:v>161</c:v>
                </c:pt>
                <c:pt idx="274">
                  <c:v>131</c:v>
                </c:pt>
                <c:pt idx="275">
                  <c:v>67</c:v>
                </c:pt>
                <c:pt idx="276">
                  <c:v>36</c:v>
                </c:pt>
                <c:pt idx="277">
                  <c:v>35</c:v>
                </c:pt>
                <c:pt idx="278">
                  <c:v>32</c:v>
                </c:pt>
                <c:pt idx="279">
                  <c:v>37</c:v>
                </c:pt>
                <c:pt idx="280">
                  <c:v>35</c:v>
                </c:pt>
                <c:pt idx="281">
                  <c:v>52</c:v>
                </c:pt>
                <c:pt idx="282">
                  <c:v>48</c:v>
                </c:pt>
                <c:pt idx="283">
                  <c:v>45</c:v>
                </c:pt>
                <c:pt idx="284">
                  <c:v>55</c:v>
                </c:pt>
                <c:pt idx="285">
                  <c:v>26</c:v>
                </c:pt>
                <c:pt idx="286">
                  <c:v>18</c:v>
                </c:pt>
                <c:pt idx="287">
                  <c:v>9</c:v>
                </c:pt>
                <c:pt idx="288">
                  <c:v>7</c:v>
                </c:pt>
                <c:pt idx="289">
                  <c:v>5</c:v>
                </c:pt>
                <c:pt idx="290">
                  <c:v>7</c:v>
                </c:pt>
                <c:pt idx="291">
                  <c:v>6</c:v>
                </c:pt>
                <c:pt idx="292">
                  <c:v>6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3</c:v>
                </c:pt>
                <c:pt idx="300">
                  <c:v>2</c:v>
                </c:pt>
                <c:pt idx="301">
                  <c:v>6</c:v>
                </c:pt>
                <c:pt idx="302">
                  <c:v>6</c:v>
                </c:pt>
                <c:pt idx="303">
                  <c:v>5</c:v>
                </c:pt>
                <c:pt idx="304">
                  <c:v>2</c:v>
                </c:pt>
                <c:pt idx="305">
                  <c:v>8</c:v>
                </c:pt>
                <c:pt idx="306">
                  <c:v>5</c:v>
                </c:pt>
                <c:pt idx="307">
                  <c:v>3</c:v>
                </c:pt>
                <c:pt idx="308">
                  <c:v>9</c:v>
                </c:pt>
                <c:pt idx="309">
                  <c:v>4</c:v>
                </c:pt>
                <c:pt idx="310">
                  <c:v>4</c:v>
                </c:pt>
                <c:pt idx="311">
                  <c:v>6</c:v>
                </c:pt>
                <c:pt idx="312">
                  <c:v>9</c:v>
                </c:pt>
                <c:pt idx="313">
                  <c:v>7</c:v>
                </c:pt>
                <c:pt idx="314">
                  <c:v>9</c:v>
                </c:pt>
                <c:pt idx="315">
                  <c:v>6</c:v>
                </c:pt>
                <c:pt idx="316">
                  <c:v>14</c:v>
                </c:pt>
                <c:pt idx="317">
                  <c:v>6</c:v>
                </c:pt>
                <c:pt idx="318">
                  <c:v>15</c:v>
                </c:pt>
                <c:pt idx="319">
                  <c:v>19</c:v>
                </c:pt>
                <c:pt idx="320">
                  <c:v>28</c:v>
                </c:pt>
                <c:pt idx="321">
                  <c:v>41</c:v>
                </c:pt>
                <c:pt idx="322">
                  <c:v>56</c:v>
                </c:pt>
                <c:pt idx="323">
                  <c:v>58</c:v>
                </c:pt>
                <c:pt idx="324">
                  <c:v>115</c:v>
                </c:pt>
                <c:pt idx="325">
                  <c:v>135</c:v>
                </c:pt>
                <c:pt idx="326">
                  <c:v>172</c:v>
                </c:pt>
                <c:pt idx="327">
                  <c:v>241</c:v>
                </c:pt>
                <c:pt idx="328">
                  <c:v>280</c:v>
                </c:pt>
                <c:pt idx="329">
                  <c:v>477</c:v>
                </c:pt>
                <c:pt idx="330">
                  <c:v>469</c:v>
                </c:pt>
                <c:pt idx="331">
                  <c:v>465</c:v>
                </c:pt>
                <c:pt idx="332">
                  <c:v>462</c:v>
                </c:pt>
                <c:pt idx="333">
                  <c:v>431</c:v>
                </c:pt>
                <c:pt idx="334">
                  <c:v>437</c:v>
                </c:pt>
                <c:pt idx="335">
                  <c:v>434</c:v>
                </c:pt>
                <c:pt idx="336">
                  <c:v>349</c:v>
                </c:pt>
                <c:pt idx="337">
                  <c:v>328</c:v>
                </c:pt>
                <c:pt idx="338">
                  <c:v>270</c:v>
                </c:pt>
                <c:pt idx="339">
                  <c:v>247</c:v>
                </c:pt>
                <c:pt idx="340">
                  <c:v>218</c:v>
                </c:pt>
                <c:pt idx="341">
                  <c:v>194</c:v>
                </c:pt>
                <c:pt idx="342">
                  <c:v>124</c:v>
                </c:pt>
                <c:pt idx="343">
                  <c:v>57</c:v>
                </c:pt>
                <c:pt idx="344">
                  <c:v>41</c:v>
                </c:pt>
                <c:pt idx="34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083-449C-B8A0-4CAED72097A2}"/>
            </c:ext>
          </c:extLst>
        </c:ser>
        <c:ser>
          <c:idx val="20"/>
          <c:order val="20"/>
          <c:tx>
            <c:strRef>
              <c:f>[1]画图1!$V$1</c:f>
              <c:strCache>
                <c:ptCount val="1"/>
                <c:pt idx="0">
                  <c:v>内蒙古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[1]画图1!$V$2:$V$348</c:f>
              <c:numCache>
                <c:formatCode>General</c:formatCode>
                <c:ptCount val="347"/>
                <c:pt idx="45">
                  <c:v>7</c:v>
                </c:pt>
                <c:pt idx="46">
                  <c:v>3</c:v>
                </c:pt>
                <c:pt idx="47">
                  <c:v>22</c:v>
                </c:pt>
                <c:pt idx="48">
                  <c:v>46</c:v>
                </c:pt>
                <c:pt idx="49">
                  <c:v>66</c:v>
                </c:pt>
                <c:pt idx="50">
                  <c:v>32</c:v>
                </c:pt>
                <c:pt idx="51">
                  <c:v>22</c:v>
                </c:pt>
                <c:pt idx="52">
                  <c:v>47</c:v>
                </c:pt>
                <c:pt idx="53">
                  <c:v>40</c:v>
                </c:pt>
                <c:pt idx="54">
                  <c:v>30</c:v>
                </c:pt>
                <c:pt idx="55">
                  <c:v>32</c:v>
                </c:pt>
                <c:pt idx="56">
                  <c:v>38</c:v>
                </c:pt>
                <c:pt idx="57">
                  <c:v>11</c:v>
                </c:pt>
                <c:pt idx="58">
                  <c:v>14</c:v>
                </c:pt>
                <c:pt idx="59">
                  <c:v>16</c:v>
                </c:pt>
                <c:pt idx="60">
                  <c:v>7</c:v>
                </c:pt>
                <c:pt idx="61">
                  <c:v>9</c:v>
                </c:pt>
                <c:pt idx="62">
                  <c:v>8</c:v>
                </c:pt>
                <c:pt idx="63">
                  <c:v>9</c:v>
                </c:pt>
                <c:pt idx="64">
                  <c:v>7</c:v>
                </c:pt>
                <c:pt idx="65">
                  <c:v>2</c:v>
                </c:pt>
                <c:pt idx="66">
                  <c:v>4</c:v>
                </c:pt>
                <c:pt idx="67">
                  <c:v>3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4</c:v>
                </c:pt>
                <c:pt idx="75">
                  <c:v>7</c:v>
                </c:pt>
                <c:pt idx="76">
                  <c:v>6</c:v>
                </c:pt>
                <c:pt idx="77">
                  <c:v>8</c:v>
                </c:pt>
                <c:pt idx="78">
                  <c:v>7</c:v>
                </c:pt>
                <c:pt idx="79">
                  <c:v>4</c:v>
                </c:pt>
                <c:pt idx="80">
                  <c:v>0</c:v>
                </c:pt>
                <c:pt idx="81">
                  <c:v>4</c:v>
                </c:pt>
                <c:pt idx="82">
                  <c:v>0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2</c:v>
                </c:pt>
                <c:pt idx="93">
                  <c:v>2</c:v>
                </c:pt>
                <c:pt idx="94">
                  <c:v>0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3</c:v>
                </c:pt>
                <c:pt idx="103">
                  <c:v>4</c:v>
                </c:pt>
                <c:pt idx="104">
                  <c:v>2</c:v>
                </c:pt>
                <c:pt idx="105">
                  <c:v>2</c:v>
                </c:pt>
                <c:pt idx="109">
                  <c:v>1</c:v>
                </c:pt>
                <c:pt idx="112">
                  <c:v>5</c:v>
                </c:pt>
                <c:pt idx="113">
                  <c:v>9</c:v>
                </c:pt>
                <c:pt idx="114">
                  <c:v>6</c:v>
                </c:pt>
                <c:pt idx="115">
                  <c:v>7</c:v>
                </c:pt>
                <c:pt idx="116">
                  <c:v>9</c:v>
                </c:pt>
                <c:pt idx="117">
                  <c:v>3</c:v>
                </c:pt>
                <c:pt idx="118">
                  <c:v>6</c:v>
                </c:pt>
                <c:pt idx="119">
                  <c:v>2</c:v>
                </c:pt>
                <c:pt idx="120">
                  <c:v>1</c:v>
                </c:pt>
                <c:pt idx="121">
                  <c:v>1</c:v>
                </c:pt>
                <c:pt idx="126">
                  <c:v>1</c:v>
                </c:pt>
                <c:pt idx="152">
                  <c:v>7</c:v>
                </c:pt>
                <c:pt idx="153">
                  <c:v>16</c:v>
                </c:pt>
                <c:pt idx="154">
                  <c:v>18</c:v>
                </c:pt>
                <c:pt idx="155">
                  <c:v>49</c:v>
                </c:pt>
                <c:pt idx="156">
                  <c:v>69</c:v>
                </c:pt>
                <c:pt idx="157">
                  <c:v>81</c:v>
                </c:pt>
                <c:pt idx="158">
                  <c:v>130</c:v>
                </c:pt>
                <c:pt idx="159">
                  <c:v>34</c:v>
                </c:pt>
                <c:pt idx="160">
                  <c:v>42</c:v>
                </c:pt>
                <c:pt idx="161">
                  <c:v>35</c:v>
                </c:pt>
                <c:pt idx="162">
                  <c:v>40</c:v>
                </c:pt>
                <c:pt idx="163">
                  <c:v>21</c:v>
                </c:pt>
                <c:pt idx="164">
                  <c:v>16</c:v>
                </c:pt>
                <c:pt idx="165">
                  <c:v>31</c:v>
                </c:pt>
                <c:pt idx="166">
                  <c:v>18</c:v>
                </c:pt>
                <c:pt idx="167">
                  <c:v>20</c:v>
                </c:pt>
                <c:pt idx="168">
                  <c:v>5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86">
                  <c:v>8</c:v>
                </c:pt>
                <c:pt idx="187">
                  <c:v>4</c:v>
                </c:pt>
                <c:pt idx="188">
                  <c:v>3</c:v>
                </c:pt>
                <c:pt idx="189">
                  <c:v>9</c:v>
                </c:pt>
                <c:pt idx="190">
                  <c:v>1</c:v>
                </c:pt>
                <c:pt idx="191">
                  <c:v>2</c:v>
                </c:pt>
                <c:pt idx="192">
                  <c:v>4</c:v>
                </c:pt>
                <c:pt idx="193">
                  <c:v>1</c:v>
                </c:pt>
                <c:pt idx="194">
                  <c:v>1</c:v>
                </c:pt>
                <c:pt idx="200">
                  <c:v>1</c:v>
                </c:pt>
                <c:pt idx="211">
                  <c:v>4</c:v>
                </c:pt>
                <c:pt idx="212">
                  <c:v>15</c:v>
                </c:pt>
                <c:pt idx="213">
                  <c:v>11</c:v>
                </c:pt>
                <c:pt idx="214">
                  <c:v>14</c:v>
                </c:pt>
                <c:pt idx="215">
                  <c:v>3</c:v>
                </c:pt>
                <c:pt idx="216">
                  <c:v>26</c:v>
                </c:pt>
                <c:pt idx="217">
                  <c:v>16</c:v>
                </c:pt>
                <c:pt idx="218">
                  <c:v>14</c:v>
                </c:pt>
                <c:pt idx="219">
                  <c:v>18</c:v>
                </c:pt>
                <c:pt idx="220">
                  <c:v>32</c:v>
                </c:pt>
                <c:pt idx="221">
                  <c:v>10</c:v>
                </c:pt>
                <c:pt idx="222">
                  <c:v>16</c:v>
                </c:pt>
                <c:pt idx="223">
                  <c:v>9</c:v>
                </c:pt>
                <c:pt idx="224">
                  <c:v>7</c:v>
                </c:pt>
                <c:pt idx="225">
                  <c:v>11</c:v>
                </c:pt>
                <c:pt idx="226">
                  <c:v>1</c:v>
                </c:pt>
                <c:pt idx="227">
                  <c:v>2</c:v>
                </c:pt>
                <c:pt idx="228">
                  <c:v>6</c:v>
                </c:pt>
                <c:pt idx="229">
                  <c:v>4</c:v>
                </c:pt>
                <c:pt idx="230">
                  <c:v>1</c:v>
                </c:pt>
                <c:pt idx="231">
                  <c:v>7</c:v>
                </c:pt>
                <c:pt idx="232">
                  <c:v>4</c:v>
                </c:pt>
                <c:pt idx="233">
                  <c:v>2</c:v>
                </c:pt>
                <c:pt idx="234">
                  <c:v>1</c:v>
                </c:pt>
                <c:pt idx="236">
                  <c:v>1</c:v>
                </c:pt>
                <c:pt idx="237">
                  <c:v>7</c:v>
                </c:pt>
                <c:pt idx="238">
                  <c:v>7</c:v>
                </c:pt>
                <c:pt idx="239">
                  <c:v>3</c:v>
                </c:pt>
                <c:pt idx="240">
                  <c:v>26</c:v>
                </c:pt>
                <c:pt idx="241">
                  <c:v>11</c:v>
                </c:pt>
                <c:pt idx="242">
                  <c:v>8</c:v>
                </c:pt>
                <c:pt idx="243">
                  <c:v>8</c:v>
                </c:pt>
                <c:pt idx="244">
                  <c:v>5</c:v>
                </c:pt>
                <c:pt idx="245">
                  <c:v>20</c:v>
                </c:pt>
                <c:pt idx="246">
                  <c:v>21</c:v>
                </c:pt>
                <c:pt idx="247">
                  <c:v>101</c:v>
                </c:pt>
                <c:pt idx="248">
                  <c:v>134</c:v>
                </c:pt>
                <c:pt idx="249">
                  <c:v>128</c:v>
                </c:pt>
                <c:pt idx="250">
                  <c:v>104</c:v>
                </c:pt>
                <c:pt idx="251">
                  <c:v>61</c:v>
                </c:pt>
                <c:pt idx="252">
                  <c:v>49</c:v>
                </c:pt>
                <c:pt idx="253">
                  <c:v>28</c:v>
                </c:pt>
                <c:pt idx="254">
                  <c:v>26</c:v>
                </c:pt>
                <c:pt idx="255">
                  <c:v>18</c:v>
                </c:pt>
                <c:pt idx="256">
                  <c:v>12</c:v>
                </c:pt>
                <c:pt idx="257">
                  <c:v>7</c:v>
                </c:pt>
                <c:pt idx="258">
                  <c:v>12</c:v>
                </c:pt>
                <c:pt idx="259">
                  <c:v>8</c:v>
                </c:pt>
                <c:pt idx="260">
                  <c:v>3</c:v>
                </c:pt>
                <c:pt idx="264">
                  <c:v>2</c:v>
                </c:pt>
                <c:pt idx="267">
                  <c:v>2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24</c:v>
                </c:pt>
                <c:pt idx="273">
                  <c:v>32</c:v>
                </c:pt>
                <c:pt idx="274">
                  <c:v>100</c:v>
                </c:pt>
                <c:pt idx="275">
                  <c:v>370</c:v>
                </c:pt>
                <c:pt idx="276">
                  <c:v>273</c:v>
                </c:pt>
                <c:pt idx="277">
                  <c:v>457</c:v>
                </c:pt>
                <c:pt idx="278">
                  <c:v>668</c:v>
                </c:pt>
                <c:pt idx="279">
                  <c:v>505</c:v>
                </c:pt>
                <c:pt idx="280">
                  <c:v>560</c:v>
                </c:pt>
                <c:pt idx="281">
                  <c:v>652</c:v>
                </c:pt>
                <c:pt idx="282">
                  <c:v>735</c:v>
                </c:pt>
                <c:pt idx="283">
                  <c:v>498</c:v>
                </c:pt>
                <c:pt idx="284">
                  <c:v>316</c:v>
                </c:pt>
                <c:pt idx="285">
                  <c:v>224</c:v>
                </c:pt>
                <c:pt idx="286">
                  <c:v>144</c:v>
                </c:pt>
                <c:pt idx="287">
                  <c:v>56</c:v>
                </c:pt>
                <c:pt idx="288">
                  <c:v>39</c:v>
                </c:pt>
                <c:pt idx="289">
                  <c:v>46</c:v>
                </c:pt>
                <c:pt idx="290">
                  <c:v>72</c:v>
                </c:pt>
                <c:pt idx="291">
                  <c:v>79</c:v>
                </c:pt>
                <c:pt idx="292">
                  <c:v>88</c:v>
                </c:pt>
                <c:pt idx="293">
                  <c:v>97</c:v>
                </c:pt>
                <c:pt idx="294">
                  <c:v>103</c:v>
                </c:pt>
                <c:pt idx="295">
                  <c:v>98</c:v>
                </c:pt>
                <c:pt idx="296">
                  <c:v>98</c:v>
                </c:pt>
                <c:pt idx="297">
                  <c:v>112</c:v>
                </c:pt>
                <c:pt idx="298">
                  <c:v>122</c:v>
                </c:pt>
                <c:pt idx="299">
                  <c:v>146</c:v>
                </c:pt>
                <c:pt idx="300">
                  <c:v>131</c:v>
                </c:pt>
                <c:pt idx="301">
                  <c:v>121</c:v>
                </c:pt>
                <c:pt idx="302">
                  <c:v>131</c:v>
                </c:pt>
                <c:pt idx="303">
                  <c:v>165</c:v>
                </c:pt>
                <c:pt idx="304">
                  <c:v>320</c:v>
                </c:pt>
                <c:pt idx="305">
                  <c:v>932</c:v>
                </c:pt>
                <c:pt idx="306">
                  <c:v>763</c:v>
                </c:pt>
                <c:pt idx="307">
                  <c:v>558</c:v>
                </c:pt>
                <c:pt idx="308">
                  <c:v>692</c:v>
                </c:pt>
                <c:pt idx="309">
                  <c:v>1033</c:v>
                </c:pt>
                <c:pt idx="310">
                  <c:v>1794</c:v>
                </c:pt>
                <c:pt idx="311">
                  <c:v>1073</c:v>
                </c:pt>
                <c:pt idx="312">
                  <c:v>1125</c:v>
                </c:pt>
                <c:pt idx="313">
                  <c:v>1210</c:v>
                </c:pt>
                <c:pt idx="314">
                  <c:v>1277</c:v>
                </c:pt>
                <c:pt idx="315">
                  <c:v>1432</c:v>
                </c:pt>
                <c:pt idx="316">
                  <c:v>1266</c:v>
                </c:pt>
                <c:pt idx="317">
                  <c:v>1330</c:v>
                </c:pt>
                <c:pt idx="318">
                  <c:v>1272</c:v>
                </c:pt>
                <c:pt idx="319">
                  <c:v>1146</c:v>
                </c:pt>
                <c:pt idx="320">
                  <c:v>1393</c:v>
                </c:pt>
                <c:pt idx="321">
                  <c:v>1350</c:v>
                </c:pt>
                <c:pt idx="322">
                  <c:v>960</c:v>
                </c:pt>
                <c:pt idx="323">
                  <c:v>922</c:v>
                </c:pt>
                <c:pt idx="324">
                  <c:v>815</c:v>
                </c:pt>
                <c:pt idx="325">
                  <c:v>645</c:v>
                </c:pt>
                <c:pt idx="326">
                  <c:v>646</c:v>
                </c:pt>
                <c:pt idx="327">
                  <c:v>629</c:v>
                </c:pt>
                <c:pt idx="328">
                  <c:v>529</c:v>
                </c:pt>
                <c:pt idx="329">
                  <c:v>549</c:v>
                </c:pt>
                <c:pt idx="330">
                  <c:v>562</c:v>
                </c:pt>
                <c:pt idx="331">
                  <c:v>485</c:v>
                </c:pt>
                <c:pt idx="332">
                  <c:v>417</c:v>
                </c:pt>
                <c:pt idx="333">
                  <c:v>332</c:v>
                </c:pt>
                <c:pt idx="334">
                  <c:v>392</c:v>
                </c:pt>
                <c:pt idx="335">
                  <c:v>413</c:v>
                </c:pt>
                <c:pt idx="336">
                  <c:v>410</c:v>
                </c:pt>
                <c:pt idx="337">
                  <c:v>445</c:v>
                </c:pt>
                <c:pt idx="338">
                  <c:v>345</c:v>
                </c:pt>
                <c:pt idx="339">
                  <c:v>312</c:v>
                </c:pt>
                <c:pt idx="340">
                  <c:v>198</c:v>
                </c:pt>
                <c:pt idx="341">
                  <c:v>107</c:v>
                </c:pt>
                <c:pt idx="342">
                  <c:v>92</c:v>
                </c:pt>
                <c:pt idx="343">
                  <c:v>61</c:v>
                </c:pt>
                <c:pt idx="344">
                  <c:v>37</c:v>
                </c:pt>
                <c:pt idx="345">
                  <c:v>12</c:v>
                </c:pt>
                <c:pt idx="346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083-449C-B8A0-4CAED72097A2}"/>
            </c:ext>
          </c:extLst>
        </c:ser>
        <c:ser>
          <c:idx val="21"/>
          <c:order val="21"/>
          <c:tx>
            <c:strRef>
              <c:f>[1]画图1!$W$1</c:f>
              <c:strCache>
                <c:ptCount val="1"/>
                <c:pt idx="0">
                  <c:v>青海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[1]画图1!$W$2:$W$348</c:f>
              <c:numCache>
                <c:formatCode>General</c:formatCode>
                <c:ptCount val="347"/>
                <c:pt idx="90">
                  <c:v>2</c:v>
                </c:pt>
                <c:pt idx="91">
                  <c:v>0</c:v>
                </c:pt>
                <c:pt idx="92">
                  <c:v>7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</c:v>
                </c:pt>
                <c:pt idx="101">
                  <c:v>11</c:v>
                </c:pt>
                <c:pt idx="102">
                  <c:v>14</c:v>
                </c:pt>
                <c:pt idx="103">
                  <c:v>10</c:v>
                </c:pt>
                <c:pt idx="104">
                  <c:v>4</c:v>
                </c:pt>
                <c:pt idx="105">
                  <c:v>10</c:v>
                </c:pt>
                <c:pt idx="106">
                  <c:v>15</c:v>
                </c:pt>
                <c:pt idx="107">
                  <c:v>2</c:v>
                </c:pt>
                <c:pt idx="108">
                  <c:v>2</c:v>
                </c:pt>
                <c:pt idx="109">
                  <c:v>13</c:v>
                </c:pt>
                <c:pt idx="110">
                  <c:v>13</c:v>
                </c:pt>
                <c:pt idx="111">
                  <c:v>7</c:v>
                </c:pt>
                <c:pt idx="112">
                  <c:v>0</c:v>
                </c:pt>
                <c:pt idx="113">
                  <c:v>4</c:v>
                </c:pt>
                <c:pt idx="114">
                  <c:v>2</c:v>
                </c:pt>
                <c:pt idx="116">
                  <c:v>0</c:v>
                </c:pt>
                <c:pt idx="125">
                  <c:v>1</c:v>
                </c:pt>
                <c:pt idx="126">
                  <c:v>6</c:v>
                </c:pt>
                <c:pt idx="127">
                  <c:v>20</c:v>
                </c:pt>
                <c:pt idx="128">
                  <c:v>26</c:v>
                </c:pt>
                <c:pt idx="129">
                  <c:v>15</c:v>
                </c:pt>
                <c:pt idx="130">
                  <c:v>38</c:v>
                </c:pt>
                <c:pt idx="131">
                  <c:v>30</c:v>
                </c:pt>
                <c:pt idx="132">
                  <c:v>22</c:v>
                </c:pt>
                <c:pt idx="133">
                  <c:v>7</c:v>
                </c:pt>
                <c:pt idx="134">
                  <c:v>7</c:v>
                </c:pt>
                <c:pt idx="135">
                  <c:v>3</c:v>
                </c:pt>
                <c:pt idx="136">
                  <c:v>1</c:v>
                </c:pt>
                <c:pt idx="190">
                  <c:v>1</c:v>
                </c:pt>
                <c:pt idx="195">
                  <c:v>1</c:v>
                </c:pt>
                <c:pt idx="223">
                  <c:v>5</c:v>
                </c:pt>
                <c:pt idx="224">
                  <c:v>5</c:v>
                </c:pt>
                <c:pt idx="225">
                  <c:v>8</c:v>
                </c:pt>
                <c:pt idx="226">
                  <c:v>10</c:v>
                </c:pt>
                <c:pt idx="227">
                  <c:v>15</c:v>
                </c:pt>
                <c:pt idx="228">
                  <c:v>59</c:v>
                </c:pt>
                <c:pt idx="229">
                  <c:v>35</c:v>
                </c:pt>
                <c:pt idx="230">
                  <c:v>40</c:v>
                </c:pt>
                <c:pt idx="231">
                  <c:v>82</c:v>
                </c:pt>
                <c:pt idx="232">
                  <c:v>64</c:v>
                </c:pt>
                <c:pt idx="233">
                  <c:v>53</c:v>
                </c:pt>
                <c:pt idx="234">
                  <c:v>43</c:v>
                </c:pt>
                <c:pt idx="235">
                  <c:v>116</c:v>
                </c:pt>
                <c:pt idx="236">
                  <c:v>105</c:v>
                </c:pt>
                <c:pt idx="237">
                  <c:v>67</c:v>
                </c:pt>
                <c:pt idx="238">
                  <c:v>76</c:v>
                </c:pt>
                <c:pt idx="239">
                  <c:v>79</c:v>
                </c:pt>
                <c:pt idx="240">
                  <c:v>104</c:v>
                </c:pt>
                <c:pt idx="241">
                  <c:v>88</c:v>
                </c:pt>
                <c:pt idx="242">
                  <c:v>215</c:v>
                </c:pt>
                <c:pt idx="243">
                  <c:v>129</c:v>
                </c:pt>
                <c:pt idx="244">
                  <c:v>107</c:v>
                </c:pt>
                <c:pt idx="245">
                  <c:v>135</c:v>
                </c:pt>
                <c:pt idx="246">
                  <c:v>97</c:v>
                </c:pt>
                <c:pt idx="247">
                  <c:v>95</c:v>
                </c:pt>
                <c:pt idx="248">
                  <c:v>107</c:v>
                </c:pt>
                <c:pt idx="249">
                  <c:v>56</c:v>
                </c:pt>
                <c:pt idx="250">
                  <c:v>21</c:v>
                </c:pt>
                <c:pt idx="251">
                  <c:v>20</c:v>
                </c:pt>
                <c:pt idx="252">
                  <c:v>13</c:v>
                </c:pt>
                <c:pt idx="253">
                  <c:v>6</c:v>
                </c:pt>
                <c:pt idx="254">
                  <c:v>2</c:v>
                </c:pt>
                <c:pt idx="255">
                  <c:v>4</c:v>
                </c:pt>
                <c:pt idx="257">
                  <c:v>1</c:v>
                </c:pt>
                <c:pt idx="258">
                  <c:v>1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5</c:v>
                </c:pt>
                <c:pt idx="263">
                  <c:v>5</c:v>
                </c:pt>
                <c:pt idx="264">
                  <c:v>1</c:v>
                </c:pt>
                <c:pt idx="267">
                  <c:v>17</c:v>
                </c:pt>
                <c:pt idx="268">
                  <c:v>6</c:v>
                </c:pt>
                <c:pt idx="269">
                  <c:v>6</c:v>
                </c:pt>
                <c:pt idx="271">
                  <c:v>4</c:v>
                </c:pt>
                <c:pt idx="272">
                  <c:v>1</c:v>
                </c:pt>
                <c:pt idx="278">
                  <c:v>1</c:v>
                </c:pt>
                <c:pt idx="291">
                  <c:v>1</c:v>
                </c:pt>
                <c:pt idx="292">
                  <c:v>4</c:v>
                </c:pt>
                <c:pt idx="293">
                  <c:v>11</c:v>
                </c:pt>
                <c:pt idx="294">
                  <c:v>19</c:v>
                </c:pt>
                <c:pt idx="295">
                  <c:v>20</c:v>
                </c:pt>
                <c:pt idx="296">
                  <c:v>32</c:v>
                </c:pt>
                <c:pt idx="297">
                  <c:v>88</c:v>
                </c:pt>
                <c:pt idx="298">
                  <c:v>124</c:v>
                </c:pt>
                <c:pt idx="299">
                  <c:v>108</c:v>
                </c:pt>
                <c:pt idx="300">
                  <c:v>86</c:v>
                </c:pt>
                <c:pt idx="301">
                  <c:v>93</c:v>
                </c:pt>
                <c:pt idx="302">
                  <c:v>89</c:v>
                </c:pt>
                <c:pt idx="303">
                  <c:v>128</c:v>
                </c:pt>
                <c:pt idx="304">
                  <c:v>91</c:v>
                </c:pt>
                <c:pt idx="305">
                  <c:v>111</c:v>
                </c:pt>
                <c:pt idx="306">
                  <c:v>116</c:v>
                </c:pt>
                <c:pt idx="307">
                  <c:v>118</c:v>
                </c:pt>
                <c:pt idx="308">
                  <c:v>105</c:v>
                </c:pt>
                <c:pt idx="309">
                  <c:v>116</c:v>
                </c:pt>
                <c:pt idx="310">
                  <c:v>111</c:v>
                </c:pt>
                <c:pt idx="311">
                  <c:v>98</c:v>
                </c:pt>
                <c:pt idx="312">
                  <c:v>277</c:v>
                </c:pt>
                <c:pt idx="313">
                  <c:v>163</c:v>
                </c:pt>
                <c:pt idx="314">
                  <c:v>360</c:v>
                </c:pt>
                <c:pt idx="315">
                  <c:v>305</c:v>
                </c:pt>
                <c:pt idx="316">
                  <c:v>348</c:v>
                </c:pt>
                <c:pt idx="317">
                  <c:v>525</c:v>
                </c:pt>
                <c:pt idx="318">
                  <c:v>533</c:v>
                </c:pt>
                <c:pt idx="319">
                  <c:v>482</c:v>
                </c:pt>
                <c:pt idx="320">
                  <c:v>573</c:v>
                </c:pt>
                <c:pt idx="321">
                  <c:v>541</c:v>
                </c:pt>
                <c:pt idx="322">
                  <c:v>497</c:v>
                </c:pt>
                <c:pt idx="323">
                  <c:v>533</c:v>
                </c:pt>
                <c:pt idx="324">
                  <c:v>577</c:v>
                </c:pt>
                <c:pt idx="325">
                  <c:v>607</c:v>
                </c:pt>
                <c:pt idx="326">
                  <c:v>696</c:v>
                </c:pt>
                <c:pt idx="327">
                  <c:v>735</c:v>
                </c:pt>
                <c:pt idx="328">
                  <c:v>1039</c:v>
                </c:pt>
                <c:pt idx="329">
                  <c:v>1074</c:v>
                </c:pt>
                <c:pt idx="330">
                  <c:v>754</c:v>
                </c:pt>
                <c:pt idx="331">
                  <c:v>732</c:v>
                </c:pt>
                <c:pt idx="332">
                  <c:v>723</c:v>
                </c:pt>
                <c:pt idx="333">
                  <c:v>641</c:v>
                </c:pt>
                <c:pt idx="334">
                  <c:v>691</c:v>
                </c:pt>
                <c:pt idx="335">
                  <c:v>600</c:v>
                </c:pt>
                <c:pt idx="336">
                  <c:v>643</c:v>
                </c:pt>
                <c:pt idx="337">
                  <c:v>481</c:v>
                </c:pt>
                <c:pt idx="338">
                  <c:v>348</c:v>
                </c:pt>
                <c:pt idx="339">
                  <c:v>239</c:v>
                </c:pt>
                <c:pt idx="340">
                  <c:v>169</c:v>
                </c:pt>
                <c:pt idx="341">
                  <c:v>151</c:v>
                </c:pt>
                <c:pt idx="342">
                  <c:v>170</c:v>
                </c:pt>
                <c:pt idx="343">
                  <c:v>193</c:v>
                </c:pt>
                <c:pt idx="344">
                  <c:v>172</c:v>
                </c:pt>
                <c:pt idx="345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083-449C-B8A0-4CAED72097A2}"/>
            </c:ext>
          </c:extLst>
        </c:ser>
        <c:ser>
          <c:idx val="22"/>
          <c:order val="22"/>
          <c:tx>
            <c:strRef>
              <c:f>[1]画图1!$X$1</c:f>
              <c:strCache>
                <c:ptCount val="1"/>
                <c:pt idx="0">
                  <c:v>山东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[1]画图1!$X$2:$X$348</c:f>
              <c:numCache>
                <c:formatCode>General</c:formatCode>
                <c:ptCount val="347"/>
                <c:pt idx="52">
                  <c:v>1</c:v>
                </c:pt>
                <c:pt idx="54">
                  <c:v>1</c:v>
                </c:pt>
                <c:pt idx="58">
                  <c:v>1</c:v>
                </c:pt>
                <c:pt idx="59">
                  <c:v>4</c:v>
                </c:pt>
                <c:pt idx="60">
                  <c:v>0</c:v>
                </c:pt>
                <c:pt idx="61">
                  <c:v>0</c:v>
                </c:pt>
                <c:pt idx="62">
                  <c:v>5</c:v>
                </c:pt>
                <c:pt idx="63">
                  <c:v>88</c:v>
                </c:pt>
                <c:pt idx="64">
                  <c:v>163</c:v>
                </c:pt>
                <c:pt idx="65">
                  <c:v>175</c:v>
                </c:pt>
                <c:pt idx="66">
                  <c:v>156</c:v>
                </c:pt>
                <c:pt idx="67">
                  <c:v>175</c:v>
                </c:pt>
                <c:pt idx="68">
                  <c:v>366</c:v>
                </c:pt>
                <c:pt idx="69">
                  <c:v>555</c:v>
                </c:pt>
                <c:pt idx="70">
                  <c:v>236</c:v>
                </c:pt>
                <c:pt idx="71">
                  <c:v>163</c:v>
                </c:pt>
                <c:pt idx="72">
                  <c:v>170</c:v>
                </c:pt>
                <c:pt idx="73">
                  <c:v>159</c:v>
                </c:pt>
                <c:pt idx="74">
                  <c:v>122</c:v>
                </c:pt>
                <c:pt idx="75">
                  <c:v>220</c:v>
                </c:pt>
                <c:pt idx="76">
                  <c:v>198</c:v>
                </c:pt>
                <c:pt idx="77">
                  <c:v>428</c:v>
                </c:pt>
                <c:pt idx="78">
                  <c:v>297</c:v>
                </c:pt>
                <c:pt idx="79">
                  <c:v>207</c:v>
                </c:pt>
                <c:pt idx="80">
                  <c:v>178</c:v>
                </c:pt>
                <c:pt idx="81">
                  <c:v>182</c:v>
                </c:pt>
                <c:pt idx="82">
                  <c:v>150</c:v>
                </c:pt>
                <c:pt idx="83">
                  <c:v>79</c:v>
                </c:pt>
                <c:pt idx="84">
                  <c:v>68</c:v>
                </c:pt>
                <c:pt idx="85">
                  <c:v>63</c:v>
                </c:pt>
                <c:pt idx="86">
                  <c:v>50</c:v>
                </c:pt>
                <c:pt idx="87">
                  <c:v>27</c:v>
                </c:pt>
                <c:pt idx="88">
                  <c:v>27</c:v>
                </c:pt>
                <c:pt idx="89">
                  <c:v>31</c:v>
                </c:pt>
                <c:pt idx="90">
                  <c:v>31</c:v>
                </c:pt>
                <c:pt idx="91">
                  <c:v>10</c:v>
                </c:pt>
                <c:pt idx="92">
                  <c:v>17</c:v>
                </c:pt>
                <c:pt idx="93">
                  <c:v>28</c:v>
                </c:pt>
                <c:pt idx="94">
                  <c:v>49</c:v>
                </c:pt>
                <c:pt idx="95">
                  <c:v>28</c:v>
                </c:pt>
                <c:pt idx="96">
                  <c:v>49</c:v>
                </c:pt>
                <c:pt idx="97">
                  <c:v>42</c:v>
                </c:pt>
                <c:pt idx="98">
                  <c:v>20</c:v>
                </c:pt>
                <c:pt idx="99">
                  <c:v>15</c:v>
                </c:pt>
                <c:pt idx="100">
                  <c:v>16</c:v>
                </c:pt>
                <c:pt idx="101">
                  <c:v>21</c:v>
                </c:pt>
                <c:pt idx="102">
                  <c:v>29</c:v>
                </c:pt>
                <c:pt idx="103">
                  <c:v>28</c:v>
                </c:pt>
                <c:pt idx="104">
                  <c:v>6</c:v>
                </c:pt>
                <c:pt idx="105">
                  <c:v>23</c:v>
                </c:pt>
                <c:pt idx="106">
                  <c:v>30</c:v>
                </c:pt>
                <c:pt idx="107">
                  <c:v>17</c:v>
                </c:pt>
                <c:pt idx="108">
                  <c:v>25</c:v>
                </c:pt>
                <c:pt idx="109">
                  <c:v>20</c:v>
                </c:pt>
                <c:pt idx="110">
                  <c:v>23</c:v>
                </c:pt>
                <c:pt idx="111">
                  <c:v>23</c:v>
                </c:pt>
                <c:pt idx="112">
                  <c:v>48</c:v>
                </c:pt>
                <c:pt idx="113">
                  <c:v>51</c:v>
                </c:pt>
                <c:pt idx="114">
                  <c:v>64</c:v>
                </c:pt>
                <c:pt idx="115">
                  <c:v>69</c:v>
                </c:pt>
                <c:pt idx="116">
                  <c:v>90</c:v>
                </c:pt>
                <c:pt idx="117">
                  <c:v>44</c:v>
                </c:pt>
                <c:pt idx="118">
                  <c:v>35</c:v>
                </c:pt>
                <c:pt idx="119">
                  <c:v>20</c:v>
                </c:pt>
                <c:pt idx="120">
                  <c:v>39</c:v>
                </c:pt>
                <c:pt idx="121">
                  <c:v>14</c:v>
                </c:pt>
                <c:pt idx="122">
                  <c:v>15</c:v>
                </c:pt>
                <c:pt idx="123">
                  <c:v>15</c:v>
                </c:pt>
                <c:pt idx="124">
                  <c:v>5</c:v>
                </c:pt>
                <c:pt idx="125">
                  <c:v>4</c:v>
                </c:pt>
                <c:pt idx="126">
                  <c:v>1</c:v>
                </c:pt>
                <c:pt idx="130">
                  <c:v>1</c:v>
                </c:pt>
                <c:pt idx="132">
                  <c:v>1</c:v>
                </c:pt>
                <c:pt idx="133">
                  <c:v>2</c:v>
                </c:pt>
                <c:pt idx="139">
                  <c:v>1</c:v>
                </c:pt>
                <c:pt idx="142">
                  <c:v>1</c:v>
                </c:pt>
                <c:pt idx="144">
                  <c:v>1</c:v>
                </c:pt>
                <c:pt idx="145">
                  <c:v>3</c:v>
                </c:pt>
                <c:pt idx="146">
                  <c:v>7</c:v>
                </c:pt>
                <c:pt idx="147">
                  <c:v>2</c:v>
                </c:pt>
                <c:pt idx="148">
                  <c:v>1</c:v>
                </c:pt>
                <c:pt idx="150">
                  <c:v>7</c:v>
                </c:pt>
                <c:pt idx="151">
                  <c:v>5</c:v>
                </c:pt>
                <c:pt idx="152">
                  <c:v>3</c:v>
                </c:pt>
                <c:pt idx="154">
                  <c:v>2</c:v>
                </c:pt>
                <c:pt idx="180">
                  <c:v>13</c:v>
                </c:pt>
                <c:pt idx="181">
                  <c:v>4</c:v>
                </c:pt>
                <c:pt idx="182">
                  <c:v>14</c:v>
                </c:pt>
                <c:pt idx="183">
                  <c:v>7</c:v>
                </c:pt>
                <c:pt idx="184">
                  <c:v>6</c:v>
                </c:pt>
                <c:pt idx="186">
                  <c:v>10</c:v>
                </c:pt>
                <c:pt idx="187">
                  <c:v>66</c:v>
                </c:pt>
                <c:pt idx="188">
                  <c:v>46</c:v>
                </c:pt>
                <c:pt idx="189">
                  <c:v>57</c:v>
                </c:pt>
                <c:pt idx="190">
                  <c:v>80</c:v>
                </c:pt>
                <c:pt idx="191">
                  <c:v>56</c:v>
                </c:pt>
                <c:pt idx="192">
                  <c:v>38</c:v>
                </c:pt>
                <c:pt idx="193">
                  <c:v>18</c:v>
                </c:pt>
                <c:pt idx="194">
                  <c:v>9</c:v>
                </c:pt>
                <c:pt idx="195">
                  <c:v>6</c:v>
                </c:pt>
                <c:pt idx="196">
                  <c:v>4</c:v>
                </c:pt>
                <c:pt idx="197">
                  <c:v>4</c:v>
                </c:pt>
                <c:pt idx="198">
                  <c:v>2</c:v>
                </c:pt>
                <c:pt idx="204">
                  <c:v>13</c:v>
                </c:pt>
                <c:pt idx="205">
                  <c:v>28</c:v>
                </c:pt>
                <c:pt idx="206">
                  <c:v>21</c:v>
                </c:pt>
                <c:pt idx="207">
                  <c:v>49</c:v>
                </c:pt>
                <c:pt idx="208">
                  <c:v>98</c:v>
                </c:pt>
                <c:pt idx="209">
                  <c:v>58</c:v>
                </c:pt>
                <c:pt idx="210">
                  <c:v>53</c:v>
                </c:pt>
                <c:pt idx="211">
                  <c:v>51</c:v>
                </c:pt>
                <c:pt idx="212">
                  <c:v>47</c:v>
                </c:pt>
                <c:pt idx="213">
                  <c:v>39</c:v>
                </c:pt>
                <c:pt idx="214">
                  <c:v>26</c:v>
                </c:pt>
                <c:pt idx="215">
                  <c:v>16</c:v>
                </c:pt>
                <c:pt idx="216">
                  <c:v>7</c:v>
                </c:pt>
                <c:pt idx="217">
                  <c:v>4</c:v>
                </c:pt>
                <c:pt idx="218">
                  <c:v>3</c:v>
                </c:pt>
                <c:pt idx="226">
                  <c:v>4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1</c:v>
                </c:pt>
                <c:pt idx="235">
                  <c:v>1</c:v>
                </c:pt>
                <c:pt idx="236">
                  <c:v>6</c:v>
                </c:pt>
                <c:pt idx="237">
                  <c:v>4</c:v>
                </c:pt>
                <c:pt idx="238">
                  <c:v>2</c:v>
                </c:pt>
                <c:pt idx="239">
                  <c:v>10</c:v>
                </c:pt>
                <c:pt idx="240">
                  <c:v>16</c:v>
                </c:pt>
                <c:pt idx="241">
                  <c:v>4</c:v>
                </c:pt>
                <c:pt idx="242">
                  <c:v>23</c:v>
                </c:pt>
                <c:pt idx="243">
                  <c:v>56</c:v>
                </c:pt>
                <c:pt idx="244">
                  <c:v>83</c:v>
                </c:pt>
                <c:pt idx="245">
                  <c:v>79</c:v>
                </c:pt>
                <c:pt idx="246">
                  <c:v>55</c:v>
                </c:pt>
                <c:pt idx="247">
                  <c:v>65</c:v>
                </c:pt>
                <c:pt idx="248">
                  <c:v>92</c:v>
                </c:pt>
                <c:pt idx="249">
                  <c:v>90</c:v>
                </c:pt>
                <c:pt idx="250">
                  <c:v>96</c:v>
                </c:pt>
                <c:pt idx="251">
                  <c:v>83</c:v>
                </c:pt>
                <c:pt idx="252">
                  <c:v>64</c:v>
                </c:pt>
                <c:pt idx="253">
                  <c:v>37</c:v>
                </c:pt>
                <c:pt idx="254">
                  <c:v>41</c:v>
                </c:pt>
                <c:pt idx="255">
                  <c:v>45</c:v>
                </c:pt>
                <c:pt idx="256">
                  <c:v>12</c:v>
                </c:pt>
                <c:pt idx="257">
                  <c:v>21</c:v>
                </c:pt>
                <c:pt idx="258">
                  <c:v>32</c:v>
                </c:pt>
                <c:pt idx="259">
                  <c:v>14</c:v>
                </c:pt>
                <c:pt idx="260">
                  <c:v>5</c:v>
                </c:pt>
                <c:pt idx="261">
                  <c:v>1</c:v>
                </c:pt>
                <c:pt idx="262">
                  <c:v>3</c:v>
                </c:pt>
                <c:pt idx="263">
                  <c:v>4</c:v>
                </c:pt>
                <c:pt idx="264">
                  <c:v>12</c:v>
                </c:pt>
                <c:pt idx="265">
                  <c:v>7</c:v>
                </c:pt>
                <c:pt idx="266">
                  <c:v>3</c:v>
                </c:pt>
                <c:pt idx="267">
                  <c:v>3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9</c:v>
                </c:pt>
                <c:pt idx="272">
                  <c:v>22</c:v>
                </c:pt>
                <c:pt idx="273">
                  <c:v>14</c:v>
                </c:pt>
                <c:pt idx="274">
                  <c:v>11</c:v>
                </c:pt>
                <c:pt idx="275">
                  <c:v>6</c:v>
                </c:pt>
                <c:pt idx="276">
                  <c:v>7</c:v>
                </c:pt>
                <c:pt idx="277">
                  <c:v>9</c:v>
                </c:pt>
                <c:pt idx="278">
                  <c:v>10</c:v>
                </c:pt>
                <c:pt idx="279">
                  <c:v>12</c:v>
                </c:pt>
                <c:pt idx="280">
                  <c:v>8</c:v>
                </c:pt>
                <c:pt idx="281">
                  <c:v>13</c:v>
                </c:pt>
                <c:pt idx="282">
                  <c:v>18</c:v>
                </c:pt>
                <c:pt idx="283">
                  <c:v>18</c:v>
                </c:pt>
                <c:pt idx="284">
                  <c:v>25</c:v>
                </c:pt>
                <c:pt idx="285">
                  <c:v>28</c:v>
                </c:pt>
                <c:pt idx="286">
                  <c:v>13</c:v>
                </c:pt>
                <c:pt idx="287">
                  <c:v>6</c:v>
                </c:pt>
                <c:pt idx="288">
                  <c:v>8</c:v>
                </c:pt>
                <c:pt idx="289">
                  <c:v>10</c:v>
                </c:pt>
                <c:pt idx="290">
                  <c:v>12</c:v>
                </c:pt>
                <c:pt idx="291">
                  <c:v>15</c:v>
                </c:pt>
                <c:pt idx="292">
                  <c:v>18</c:v>
                </c:pt>
                <c:pt idx="293">
                  <c:v>19</c:v>
                </c:pt>
                <c:pt idx="294">
                  <c:v>25</c:v>
                </c:pt>
                <c:pt idx="295">
                  <c:v>37</c:v>
                </c:pt>
                <c:pt idx="296">
                  <c:v>34</c:v>
                </c:pt>
                <c:pt idx="297">
                  <c:v>58</c:v>
                </c:pt>
                <c:pt idx="298">
                  <c:v>77</c:v>
                </c:pt>
                <c:pt idx="299">
                  <c:v>93</c:v>
                </c:pt>
                <c:pt idx="300">
                  <c:v>94</c:v>
                </c:pt>
                <c:pt idx="301">
                  <c:v>87</c:v>
                </c:pt>
                <c:pt idx="302">
                  <c:v>105</c:v>
                </c:pt>
                <c:pt idx="303">
                  <c:v>103</c:v>
                </c:pt>
                <c:pt idx="304">
                  <c:v>97</c:v>
                </c:pt>
                <c:pt idx="305">
                  <c:v>101</c:v>
                </c:pt>
                <c:pt idx="306">
                  <c:v>109</c:v>
                </c:pt>
                <c:pt idx="307">
                  <c:v>80</c:v>
                </c:pt>
                <c:pt idx="308">
                  <c:v>84</c:v>
                </c:pt>
                <c:pt idx="309">
                  <c:v>79</c:v>
                </c:pt>
                <c:pt idx="310">
                  <c:v>63</c:v>
                </c:pt>
                <c:pt idx="311">
                  <c:v>70</c:v>
                </c:pt>
                <c:pt idx="312">
                  <c:v>59</c:v>
                </c:pt>
                <c:pt idx="313">
                  <c:v>109</c:v>
                </c:pt>
                <c:pt idx="314">
                  <c:v>147</c:v>
                </c:pt>
                <c:pt idx="315">
                  <c:v>189</c:v>
                </c:pt>
                <c:pt idx="316">
                  <c:v>163</c:v>
                </c:pt>
                <c:pt idx="317">
                  <c:v>179</c:v>
                </c:pt>
                <c:pt idx="318">
                  <c:v>169</c:v>
                </c:pt>
                <c:pt idx="319">
                  <c:v>167</c:v>
                </c:pt>
                <c:pt idx="320">
                  <c:v>148</c:v>
                </c:pt>
                <c:pt idx="321">
                  <c:v>280</c:v>
                </c:pt>
                <c:pt idx="322">
                  <c:v>360</c:v>
                </c:pt>
                <c:pt idx="323">
                  <c:v>671</c:v>
                </c:pt>
                <c:pt idx="324">
                  <c:v>988</c:v>
                </c:pt>
                <c:pt idx="325">
                  <c:v>779</c:v>
                </c:pt>
                <c:pt idx="326">
                  <c:v>798</c:v>
                </c:pt>
                <c:pt idx="327">
                  <c:v>807</c:v>
                </c:pt>
                <c:pt idx="328">
                  <c:v>878</c:v>
                </c:pt>
                <c:pt idx="329">
                  <c:v>899</c:v>
                </c:pt>
                <c:pt idx="330">
                  <c:v>968</c:v>
                </c:pt>
                <c:pt idx="331">
                  <c:v>864</c:v>
                </c:pt>
                <c:pt idx="332">
                  <c:v>930</c:v>
                </c:pt>
                <c:pt idx="333">
                  <c:v>646</c:v>
                </c:pt>
                <c:pt idx="334">
                  <c:v>664</c:v>
                </c:pt>
                <c:pt idx="335">
                  <c:v>760</c:v>
                </c:pt>
                <c:pt idx="336">
                  <c:v>703</c:v>
                </c:pt>
                <c:pt idx="337">
                  <c:v>645</c:v>
                </c:pt>
                <c:pt idx="338">
                  <c:v>567</c:v>
                </c:pt>
                <c:pt idx="339">
                  <c:v>496</c:v>
                </c:pt>
                <c:pt idx="340">
                  <c:v>468</c:v>
                </c:pt>
                <c:pt idx="341">
                  <c:v>488</c:v>
                </c:pt>
                <c:pt idx="342">
                  <c:v>455</c:v>
                </c:pt>
                <c:pt idx="343">
                  <c:v>346</c:v>
                </c:pt>
                <c:pt idx="344">
                  <c:v>253</c:v>
                </c:pt>
                <c:pt idx="345">
                  <c:v>225</c:v>
                </c:pt>
                <c:pt idx="34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083-449C-B8A0-4CAED72097A2}"/>
            </c:ext>
          </c:extLst>
        </c:ser>
        <c:ser>
          <c:idx val="23"/>
          <c:order val="23"/>
          <c:tx>
            <c:strRef>
              <c:f>[1]画图1!$Y$1</c:f>
              <c:strCache>
                <c:ptCount val="1"/>
                <c:pt idx="0">
                  <c:v>山西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[1]画图1!$Y$2:$Y$348</c:f>
              <c:numCache>
                <c:formatCode>General</c:formatCode>
                <c:ptCount val="347"/>
                <c:pt idx="86">
                  <c:v>3</c:v>
                </c:pt>
                <c:pt idx="87">
                  <c:v>1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5</c:v>
                </c:pt>
                <c:pt idx="93">
                  <c:v>6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11</c:v>
                </c:pt>
                <c:pt idx="98">
                  <c:v>7</c:v>
                </c:pt>
                <c:pt idx="99">
                  <c:v>4</c:v>
                </c:pt>
                <c:pt idx="100">
                  <c:v>3</c:v>
                </c:pt>
                <c:pt idx="101">
                  <c:v>4</c:v>
                </c:pt>
                <c:pt idx="102">
                  <c:v>8</c:v>
                </c:pt>
                <c:pt idx="103">
                  <c:v>53</c:v>
                </c:pt>
                <c:pt idx="104">
                  <c:v>24</c:v>
                </c:pt>
                <c:pt idx="105">
                  <c:v>44</c:v>
                </c:pt>
                <c:pt idx="106">
                  <c:v>59</c:v>
                </c:pt>
                <c:pt idx="107">
                  <c:v>33</c:v>
                </c:pt>
                <c:pt idx="108">
                  <c:v>29</c:v>
                </c:pt>
                <c:pt idx="109">
                  <c:v>31</c:v>
                </c:pt>
                <c:pt idx="110">
                  <c:v>19</c:v>
                </c:pt>
                <c:pt idx="111">
                  <c:v>10</c:v>
                </c:pt>
                <c:pt idx="112">
                  <c:v>5</c:v>
                </c:pt>
                <c:pt idx="113">
                  <c:v>7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21">
                  <c:v>1</c:v>
                </c:pt>
                <c:pt idx="129">
                  <c:v>1</c:v>
                </c:pt>
                <c:pt idx="186">
                  <c:v>1</c:v>
                </c:pt>
                <c:pt idx="190">
                  <c:v>1</c:v>
                </c:pt>
                <c:pt idx="229">
                  <c:v>6</c:v>
                </c:pt>
                <c:pt idx="230">
                  <c:v>1</c:v>
                </c:pt>
                <c:pt idx="231">
                  <c:v>5</c:v>
                </c:pt>
                <c:pt idx="232">
                  <c:v>2</c:v>
                </c:pt>
                <c:pt idx="233">
                  <c:v>3</c:v>
                </c:pt>
                <c:pt idx="234">
                  <c:v>2</c:v>
                </c:pt>
                <c:pt idx="235">
                  <c:v>4</c:v>
                </c:pt>
                <c:pt idx="236">
                  <c:v>1</c:v>
                </c:pt>
                <c:pt idx="237">
                  <c:v>15</c:v>
                </c:pt>
                <c:pt idx="238">
                  <c:v>8</c:v>
                </c:pt>
                <c:pt idx="239">
                  <c:v>7</c:v>
                </c:pt>
                <c:pt idx="240">
                  <c:v>4</c:v>
                </c:pt>
                <c:pt idx="241">
                  <c:v>3</c:v>
                </c:pt>
                <c:pt idx="270">
                  <c:v>5</c:v>
                </c:pt>
                <c:pt idx="271">
                  <c:v>2</c:v>
                </c:pt>
                <c:pt idx="272">
                  <c:v>13</c:v>
                </c:pt>
                <c:pt idx="273">
                  <c:v>12</c:v>
                </c:pt>
                <c:pt idx="274">
                  <c:v>10</c:v>
                </c:pt>
                <c:pt idx="275">
                  <c:v>17</c:v>
                </c:pt>
                <c:pt idx="276">
                  <c:v>13</c:v>
                </c:pt>
                <c:pt idx="277">
                  <c:v>12</c:v>
                </c:pt>
                <c:pt idx="278">
                  <c:v>29</c:v>
                </c:pt>
                <c:pt idx="279">
                  <c:v>55</c:v>
                </c:pt>
                <c:pt idx="280">
                  <c:v>35</c:v>
                </c:pt>
                <c:pt idx="281">
                  <c:v>38</c:v>
                </c:pt>
                <c:pt idx="282">
                  <c:v>37</c:v>
                </c:pt>
                <c:pt idx="283">
                  <c:v>134</c:v>
                </c:pt>
                <c:pt idx="284">
                  <c:v>91</c:v>
                </c:pt>
                <c:pt idx="285">
                  <c:v>64</c:v>
                </c:pt>
                <c:pt idx="286">
                  <c:v>39</c:v>
                </c:pt>
                <c:pt idx="287">
                  <c:v>44</c:v>
                </c:pt>
                <c:pt idx="288">
                  <c:v>56</c:v>
                </c:pt>
                <c:pt idx="289">
                  <c:v>72</c:v>
                </c:pt>
                <c:pt idx="290">
                  <c:v>45</c:v>
                </c:pt>
                <c:pt idx="291">
                  <c:v>13</c:v>
                </c:pt>
                <c:pt idx="292">
                  <c:v>17</c:v>
                </c:pt>
                <c:pt idx="293">
                  <c:v>27</c:v>
                </c:pt>
                <c:pt idx="294">
                  <c:v>39</c:v>
                </c:pt>
                <c:pt idx="295">
                  <c:v>67</c:v>
                </c:pt>
                <c:pt idx="296">
                  <c:v>144</c:v>
                </c:pt>
                <c:pt idx="297">
                  <c:v>217</c:v>
                </c:pt>
                <c:pt idx="298">
                  <c:v>44</c:v>
                </c:pt>
                <c:pt idx="299">
                  <c:v>107</c:v>
                </c:pt>
                <c:pt idx="300">
                  <c:v>104</c:v>
                </c:pt>
                <c:pt idx="301">
                  <c:v>106</c:v>
                </c:pt>
                <c:pt idx="302">
                  <c:v>184</c:v>
                </c:pt>
                <c:pt idx="303">
                  <c:v>139</c:v>
                </c:pt>
                <c:pt idx="304">
                  <c:v>136</c:v>
                </c:pt>
                <c:pt idx="305">
                  <c:v>82</c:v>
                </c:pt>
                <c:pt idx="306">
                  <c:v>202</c:v>
                </c:pt>
                <c:pt idx="307">
                  <c:v>215</c:v>
                </c:pt>
                <c:pt idx="308">
                  <c:v>125</c:v>
                </c:pt>
                <c:pt idx="309">
                  <c:v>74</c:v>
                </c:pt>
                <c:pt idx="310">
                  <c:v>130</c:v>
                </c:pt>
                <c:pt idx="311">
                  <c:v>178</c:v>
                </c:pt>
                <c:pt idx="312">
                  <c:v>187</c:v>
                </c:pt>
                <c:pt idx="313">
                  <c:v>232</c:v>
                </c:pt>
                <c:pt idx="314">
                  <c:v>245</c:v>
                </c:pt>
                <c:pt idx="315">
                  <c:v>271</c:v>
                </c:pt>
                <c:pt idx="316">
                  <c:v>214</c:v>
                </c:pt>
                <c:pt idx="317">
                  <c:v>256</c:v>
                </c:pt>
                <c:pt idx="318">
                  <c:v>322</c:v>
                </c:pt>
                <c:pt idx="319">
                  <c:v>465</c:v>
                </c:pt>
                <c:pt idx="320">
                  <c:v>409</c:v>
                </c:pt>
                <c:pt idx="321">
                  <c:v>487</c:v>
                </c:pt>
                <c:pt idx="322">
                  <c:v>728</c:v>
                </c:pt>
                <c:pt idx="323">
                  <c:v>628</c:v>
                </c:pt>
                <c:pt idx="324">
                  <c:v>467</c:v>
                </c:pt>
                <c:pt idx="325">
                  <c:v>639</c:v>
                </c:pt>
                <c:pt idx="326">
                  <c:v>1014</c:v>
                </c:pt>
                <c:pt idx="327">
                  <c:v>929</c:v>
                </c:pt>
                <c:pt idx="328">
                  <c:v>1473</c:v>
                </c:pt>
                <c:pt idx="329">
                  <c:v>1195</c:v>
                </c:pt>
                <c:pt idx="330">
                  <c:v>1302</c:v>
                </c:pt>
                <c:pt idx="331">
                  <c:v>1460</c:v>
                </c:pt>
                <c:pt idx="332">
                  <c:v>2056</c:v>
                </c:pt>
                <c:pt idx="333">
                  <c:v>2330</c:v>
                </c:pt>
                <c:pt idx="334">
                  <c:v>2509</c:v>
                </c:pt>
                <c:pt idx="335">
                  <c:v>3376</c:v>
                </c:pt>
                <c:pt idx="336">
                  <c:v>2771</c:v>
                </c:pt>
                <c:pt idx="337">
                  <c:v>1411</c:v>
                </c:pt>
                <c:pt idx="338">
                  <c:v>1623</c:v>
                </c:pt>
                <c:pt idx="339">
                  <c:v>1396</c:v>
                </c:pt>
                <c:pt idx="340">
                  <c:v>1125</c:v>
                </c:pt>
                <c:pt idx="341">
                  <c:v>1072</c:v>
                </c:pt>
                <c:pt idx="342">
                  <c:v>647</c:v>
                </c:pt>
                <c:pt idx="343">
                  <c:v>433</c:v>
                </c:pt>
                <c:pt idx="344">
                  <c:v>296</c:v>
                </c:pt>
                <c:pt idx="345">
                  <c:v>243</c:v>
                </c:pt>
                <c:pt idx="3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083-449C-B8A0-4CAED72097A2}"/>
            </c:ext>
          </c:extLst>
        </c:ser>
        <c:ser>
          <c:idx val="24"/>
          <c:order val="24"/>
          <c:tx>
            <c:strRef>
              <c:f>[1]画图1!$Z$1</c:f>
              <c:strCache>
                <c:ptCount val="1"/>
                <c:pt idx="0">
                  <c:v>陕西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[1]画图1!$Z$2:$Z$348</c:f>
              <c:numCache>
                <c:formatCode>General</c:formatCode>
                <c:ptCount val="347"/>
                <c:pt idx="0">
                  <c:v>123</c:v>
                </c:pt>
                <c:pt idx="1">
                  <c:v>92</c:v>
                </c:pt>
                <c:pt idx="2">
                  <c:v>95</c:v>
                </c:pt>
                <c:pt idx="3">
                  <c:v>35</c:v>
                </c:pt>
                <c:pt idx="4">
                  <c:v>63</c:v>
                </c:pt>
                <c:pt idx="5">
                  <c:v>57</c:v>
                </c:pt>
                <c:pt idx="6">
                  <c:v>46</c:v>
                </c:pt>
                <c:pt idx="7">
                  <c:v>30</c:v>
                </c:pt>
                <c:pt idx="8">
                  <c:v>15</c:v>
                </c:pt>
                <c:pt idx="9">
                  <c:v>13</c:v>
                </c:pt>
                <c:pt idx="10">
                  <c:v>8</c:v>
                </c:pt>
                <c:pt idx="11">
                  <c:v>6</c:v>
                </c:pt>
                <c:pt idx="12">
                  <c:v>8</c:v>
                </c:pt>
                <c:pt idx="13">
                  <c:v>4</c:v>
                </c:pt>
                <c:pt idx="14">
                  <c:v>1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63">
                  <c:v>2</c:v>
                </c:pt>
                <c:pt idx="64">
                  <c:v>0</c:v>
                </c:pt>
                <c:pt idx="65">
                  <c:v>5</c:v>
                </c:pt>
                <c:pt idx="66">
                  <c:v>17</c:v>
                </c:pt>
                <c:pt idx="67">
                  <c:v>21</c:v>
                </c:pt>
                <c:pt idx="68">
                  <c:v>18</c:v>
                </c:pt>
                <c:pt idx="69">
                  <c:v>30</c:v>
                </c:pt>
                <c:pt idx="70">
                  <c:v>43</c:v>
                </c:pt>
                <c:pt idx="71">
                  <c:v>60</c:v>
                </c:pt>
                <c:pt idx="72">
                  <c:v>53</c:v>
                </c:pt>
                <c:pt idx="73">
                  <c:v>28</c:v>
                </c:pt>
                <c:pt idx="74">
                  <c:v>26</c:v>
                </c:pt>
                <c:pt idx="75">
                  <c:v>33</c:v>
                </c:pt>
                <c:pt idx="76">
                  <c:v>11</c:v>
                </c:pt>
                <c:pt idx="77">
                  <c:v>15</c:v>
                </c:pt>
                <c:pt idx="78">
                  <c:v>14</c:v>
                </c:pt>
                <c:pt idx="79">
                  <c:v>7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6</c:v>
                </c:pt>
                <c:pt idx="85">
                  <c:v>0</c:v>
                </c:pt>
                <c:pt idx="86">
                  <c:v>3</c:v>
                </c:pt>
                <c:pt idx="91">
                  <c:v>3</c:v>
                </c:pt>
                <c:pt idx="92">
                  <c:v>1</c:v>
                </c:pt>
                <c:pt idx="93">
                  <c:v>0</c:v>
                </c:pt>
                <c:pt idx="94">
                  <c:v>2</c:v>
                </c:pt>
                <c:pt idx="95">
                  <c:v>0</c:v>
                </c:pt>
                <c:pt idx="96">
                  <c:v>14</c:v>
                </c:pt>
                <c:pt idx="97">
                  <c:v>6</c:v>
                </c:pt>
                <c:pt idx="98">
                  <c:v>2</c:v>
                </c:pt>
                <c:pt idx="99">
                  <c:v>7</c:v>
                </c:pt>
                <c:pt idx="100">
                  <c:v>0</c:v>
                </c:pt>
                <c:pt idx="101">
                  <c:v>2</c:v>
                </c:pt>
                <c:pt idx="102">
                  <c:v>4</c:v>
                </c:pt>
                <c:pt idx="103">
                  <c:v>7</c:v>
                </c:pt>
                <c:pt idx="104">
                  <c:v>2</c:v>
                </c:pt>
                <c:pt idx="105">
                  <c:v>5</c:v>
                </c:pt>
                <c:pt idx="106">
                  <c:v>2</c:v>
                </c:pt>
                <c:pt idx="107">
                  <c:v>5</c:v>
                </c:pt>
                <c:pt idx="108">
                  <c:v>4</c:v>
                </c:pt>
                <c:pt idx="109">
                  <c:v>0</c:v>
                </c:pt>
                <c:pt idx="110">
                  <c:v>2</c:v>
                </c:pt>
                <c:pt idx="116">
                  <c:v>1</c:v>
                </c:pt>
                <c:pt idx="131">
                  <c:v>1</c:v>
                </c:pt>
                <c:pt idx="140">
                  <c:v>1</c:v>
                </c:pt>
                <c:pt idx="142">
                  <c:v>4</c:v>
                </c:pt>
                <c:pt idx="182">
                  <c:v>6</c:v>
                </c:pt>
                <c:pt idx="183">
                  <c:v>3</c:v>
                </c:pt>
                <c:pt idx="184">
                  <c:v>9</c:v>
                </c:pt>
                <c:pt idx="185">
                  <c:v>11</c:v>
                </c:pt>
                <c:pt idx="186">
                  <c:v>4</c:v>
                </c:pt>
                <c:pt idx="187">
                  <c:v>9</c:v>
                </c:pt>
                <c:pt idx="188">
                  <c:v>3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221">
                  <c:v>1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4</c:v>
                </c:pt>
                <c:pt idx="226">
                  <c:v>3</c:v>
                </c:pt>
                <c:pt idx="227">
                  <c:v>16</c:v>
                </c:pt>
                <c:pt idx="228">
                  <c:v>64</c:v>
                </c:pt>
                <c:pt idx="229">
                  <c:v>71</c:v>
                </c:pt>
                <c:pt idx="230">
                  <c:v>57</c:v>
                </c:pt>
                <c:pt idx="231">
                  <c:v>66</c:v>
                </c:pt>
                <c:pt idx="232">
                  <c:v>89</c:v>
                </c:pt>
                <c:pt idx="233">
                  <c:v>88</c:v>
                </c:pt>
                <c:pt idx="234">
                  <c:v>38</c:v>
                </c:pt>
                <c:pt idx="235">
                  <c:v>65</c:v>
                </c:pt>
                <c:pt idx="236">
                  <c:v>55</c:v>
                </c:pt>
                <c:pt idx="237">
                  <c:v>27</c:v>
                </c:pt>
                <c:pt idx="238">
                  <c:v>57</c:v>
                </c:pt>
                <c:pt idx="239">
                  <c:v>25</c:v>
                </c:pt>
                <c:pt idx="240">
                  <c:v>22</c:v>
                </c:pt>
                <c:pt idx="241">
                  <c:v>18</c:v>
                </c:pt>
                <c:pt idx="242">
                  <c:v>19</c:v>
                </c:pt>
                <c:pt idx="243">
                  <c:v>10</c:v>
                </c:pt>
                <c:pt idx="244">
                  <c:v>19</c:v>
                </c:pt>
                <c:pt idx="245">
                  <c:v>9</c:v>
                </c:pt>
                <c:pt idx="246">
                  <c:v>6</c:v>
                </c:pt>
                <c:pt idx="247">
                  <c:v>2</c:v>
                </c:pt>
                <c:pt idx="248">
                  <c:v>13</c:v>
                </c:pt>
                <c:pt idx="249">
                  <c:v>5</c:v>
                </c:pt>
                <c:pt idx="250">
                  <c:v>14</c:v>
                </c:pt>
                <c:pt idx="251">
                  <c:v>19</c:v>
                </c:pt>
                <c:pt idx="252">
                  <c:v>24</c:v>
                </c:pt>
                <c:pt idx="253">
                  <c:v>31</c:v>
                </c:pt>
                <c:pt idx="254">
                  <c:v>13</c:v>
                </c:pt>
                <c:pt idx="255">
                  <c:v>14</c:v>
                </c:pt>
                <c:pt idx="256">
                  <c:v>9</c:v>
                </c:pt>
                <c:pt idx="257">
                  <c:v>4</c:v>
                </c:pt>
                <c:pt idx="258">
                  <c:v>8</c:v>
                </c:pt>
                <c:pt idx="259">
                  <c:v>2</c:v>
                </c:pt>
                <c:pt idx="260">
                  <c:v>3</c:v>
                </c:pt>
                <c:pt idx="262">
                  <c:v>1</c:v>
                </c:pt>
                <c:pt idx="264">
                  <c:v>2</c:v>
                </c:pt>
                <c:pt idx="265">
                  <c:v>1</c:v>
                </c:pt>
                <c:pt idx="266">
                  <c:v>4</c:v>
                </c:pt>
                <c:pt idx="267">
                  <c:v>4</c:v>
                </c:pt>
                <c:pt idx="268">
                  <c:v>2</c:v>
                </c:pt>
                <c:pt idx="269">
                  <c:v>9</c:v>
                </c:pt>
                <c:pt idx="270">
                  <c:v>5</c:v>
                </c:pt>
                <c:pt idx="271">
                  <c:v>17</c:v>
                </c:pt>
                <c:pt idx="272">
                  <c:v>5</c:v>
                </c:pt>
                <c:pt idx="273">
                  <c:v>7</c:v>
                </c:pt>
                <c:pt idx="274">
                  <c:v>12</c:v>
                </c:pt>
                <c:pt idx="275">
                  <c:v>15</c:v>
                </c:pt>
                <c:pt idx="276">
                  <c:v>21</c:v>
                </c:pt>
                <c:pt idx="277">
                  <c:v>33</c:v>
                </c:pt>
                <c:pt idx="278">
                  <c:v>50</c:v>
                </c:pt>
                <c:pt idx="279">
                  <c:v>43</c:v>
                </c:pt>
                <c:pt idx="280">
                  <c:v>49</c:v>
                </c:pt>
                <c:pt idx="281">
                  <c:v>26</c:v>
                </c:pt>
                <c:pt idx="282">
                  <c:v>24</c:v>
                </c:pt>
                <c:pt idx="283">
                  <c:v>35</c:v>
                </c:pt>
                <c:pt idx="284">
                  <c:v>25</c:v>
                </c:pt>
                <c:pt idx="285">
                  <c:v>25</c:v>
                </c:pt>
                <c:pt idx="286">
                  <c:v>31</c:v>
                </c:pt>
                <c:pt idx="287">
                  <c:v>37</c:v>
                </c:pt>
                <c:pt idx="288">
                  <c:v>32</c:v>
                </c:pt>
                <c:pt idx="289">
                  <c:v>36</c:v>
                </c:pt>
                <c:pt idx="290">
                  <c:v>59</c:v>
                </c:pt>
                <c:pt idx="291">
                  <c:v>71</c:v>
                </c:pt>
                <c:pt idx="292">
                  <c:v>68</c:v>
                </c:pt>
                <c:pt idx="293">
                  <c:v>50</c:v>
                </c:pt>
                <c:pt idx="294">
                  <c:v>67</c:v>
                </c:pt>
                <c:pt idx="295">
                  <c:v>80</c:v>
                </c:pt>
                <c:pt idx="296">
                  <c:v>84</c:v>
                </c:pt>
                <c:pt idx="297">
                  <c:v>55</c:v>
                </c:pt>
                <c:pt idx="298">
                  <c:v>46</c:v>
                </c:pt>
                <c:pt idx="299">
                  <c:v>43</c:v>
                </c:pt>
                <c:pt idx="300">
                  <c:v>59</c:v>
                </c:pt>
                <c:pt idx="301">
                  <c:v>55</c:v>
                </c:pt>
                <c:pt idx="302">
                  <c:v>60</c:v>
                </c:pt>
                <c:pt idx="303">
                  <c:v>51</c:v>
                </c:pt>
                <c:pt idx="304">
                  <c:v>35</c:v>
                </c:pt>
                <c:pt idx="305">
                  <c:v>48</c:v>
                </c:pt>
                <c:pt idx="306">
                  <c:v>29</c:v>
                </c:pt>
                <c:pt idx="307">
                  <c:v>25</c:v>
                </c:pt>
                <c:pt idx="308">
                  <c:v>19</c:v>
                </c:pt>
                <c:pt idx="309">
                  <c:v>21</c:v>
                </c:pt>
                <c:pt idx="310">
                  <c:v>30</c:v>
                </c:pt>
                <c:pt idx="311">
                  <c:v>25</c:v>
                </c:pt>
                <c:pt idx="312">
                  <c:v>48</c:v>
                </c:pt>
                <c:pt idx="313">
                  <c:v>21</c:v>
                </c:pt>
                <c:pt idx="314">
                  <c:v>26</c:v>
                </c:pt>
                <c:pt idx="315">
                  <c:v>56</c:v>
                </c:pt>
                <c:pt idx="316">
                  <c:v>60</c:v>
                </c:pt>
                <c:pt idx="317">
                  <c:v>222</c:v>
                </c:pt>
                <c:pt idx="318">
                  <c:v>238</c:v>
                </c:pt>
                <c:pt idx="319">
                  <c:v>350</c:v>
                </c:pt>
                <c:pt idx="320">
                  <c:v>658</c:v>
                </c:pt>
                <c:pt idx="321">
                  <c:v>557</c:v>
                </c:pt>
                <c:pt idx="322">
                  <c:v>771</c:v>
                </c:pt>
                <c:pt idx="323">
                  <c:v>655</c:v>
                </c:pt>
                <c:pt idx="324">
                  <c:v>732</c:v>
                </c:pt>
                <c:pt idx="325">
                  <c:v>725</c:v>
                </c:pt>
                <c:pt idx="326">
                  <c:v>787</c:v>
                </c:pt>
                <c:pt idx="327">
                  <c:v>822</c:v>
                </c:pt>
                <c:pt idx="328">
                  <c:v>851</c:v>
                </c:pt>
                <c:pt idx="329">
                  <c:v>947</c:v>
                </c:pt>
                <c:pt idx="330">
                  <c:v>1038</c:v>
                </c:pt>
                <c:pt idx="331">
                  <c:v>933</c:v>
                </c:pt>
                <c:pt idx="332">
                  <c:v>795</c:v>
                </c:pt>
                <c:pt idx="333">
                  <c:v>725</c:v>
                </c:pt>
                <c:pt idx="334">
                  <c:v>860</c:v>
                </c:pt>
                <c:pt idx="335">
                  <c:v>931</c:v>
                </c:pt>
                <c:pt idx="336">
                  <c:v>948</c:v>
                </c:pt>
                <c:pt idx="337">
                  <c:v>1041</c:v>
                </c:pt>
                <c:pt idx="338">
                  <c:v>1041</c:v>
                </c:pt>
                <c:pt idx="339">
                  <c:v>1069</c:v>
                </c:pt>
                <c:pt idx="340">
                  <c:v>874</c:v>
                </c:pt>
                <c:pt idx="341">
                  <c:v>609</c:v>
                </c:pt>
                <c:pt idx="342">
                  <c:v>470</c:v>
                </c:pt>
                <c:pt idx="343">
                  <c:v>267</c:v>
                </c:pt>
                <c:pt idx="344">
                  <c:v>143</c:v>
                </c:pt>
                <c:pt idx="345">
                  <c:v>114</c:v>
                </c:pt>
                <c:pt idx="34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083-449C-B8A0-4CAED72097A2}"/>
            </c:ext>
          </c:extLst>
        </c:ser>
        <c:ser>
          <c:idx val="25"/>
          <c:order val="25"/>
          <c:tx>
            <c:strRef>
              <c:f>[1]画图1!$AA$1</c:f>
              <c:strCache>
                <c:ptCount val="1"/>
                <c:pt idx="0">
                  <c:v>四川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[1]画图1!$AA$2:$AA$348</c:f>
              <c:numCache>
                <c:formatCode>General</c:formatCode>
                <c:ptCount val="347"/>
                <c:pt idx="88">
                  <c:v>3</c:v>
                </c:pt>
                <c:pt idx="89">
                  <c:v>3</c:v>
                </c:pt>
                <c:pt idx="90">
                  <c:v>1</c:v>
                </c:pt>
                <c:pt idx="91">
                  <c:v>10</c:v>
                </c:pt>
                <c:pt idx="92">
                  <c:v>16</c:v>
                </c:pt>
                <c:pt idx="93">
                  <c:v>16</c:v>
                </c:pt>
                <c:pt idx="94">
                  <c:v>12</c:v>
                </c:pt>
                <c:pt idx="95">
                  <c:v>8</c:v>
                </c:pt>
                <c:pt idx="96">
                  <c:v>4</c:v>
                </c:pt>
                <c:pt idx="97">
                  <c:v>2</c:v>
                </c:pt>
                <c:pt idx="98">
                  <c:v>3</c:v>
                </c:pt>
                <c:pt idx="99">
                  <c:v>1</c:v>
                </c:pt>
                <c:pt idx="100">
                  <c:v>2</c:v>
                </c:pt>
                <c:pt idx="101">
                  <c:v>3</c:v>
                </c:pt>
                <c:pt idx="102">
                  <c:v>0</c:v>
                </c:pt>
                <c:pt idx="103">
                  <c:v>1</c:v>
                </c:pt>
                <c:pt idx="109">
                  <c:v>8</c:v>
                </c:pt>
                <c:pt idx="110">
                  <c:v>0</c:v>
                </c:pt>
                <c:pt idx="113">
                  <c:v>1</c:v>
                </c:pt>
                <c:pt idx="114">
                  <c:v>3</c:v>
                </c:pt>
                <c:pt idx="115">
                  <c:v>1</c:v>
                </c:pt>
                <c:pt idx="116">
                  <c:v>2</c:v>
                </c:pt>
                <c:pt idx="117">
                  <c:v>5</c:v>
                </c:pt>
                <c:pt idx="118">
                  <c:v>36</c:v>
                </c:pt>
                <c:pt idx="119">
                  <c:v>10</c:v>
                </c:pt>
                <c:pt idx="120">
                  <c:v>6</c:v>
                </c:pt>
                <c:pt idx="121">
                  <c:v>1</c:v>
                </c:pt>
                <c:pt idx="122">
                  <c:v>2</c:v>
                </c:pt>
                <c:pt idx="123">
                  <c:v>1</c:v>
                </c:pt>
                <c:pt idx="124">
                  <c:v>0</c:v>
                </c:pt>
                <c:pt idx="125">
                  <c:v>3</c:v>
                </c:pt>
                <c:pt idx="126">
                  <c:v>1</c:v>
                </c:pt>
                <c:pt idx="127">
                  <c:v>0</c:v>
                </c:pt>
                <c:pt idx="128">
                  <c:v>3</c:v>
                </c:pt>
                <c:pt idx="129">
                  <c:v>9</c:v>
                </c:pt>
                <c:pt idx="130">
                  <c:v>25</c:v>
                </c:pt>
                <c:pt idx="131">
                  <c:v>96</c:v>
                </c:pt>
                <c:pt idx="132">
                  <c:v>91</c:v>
                </c:pt>
                <c:pt idx="133">
                  <c:v>207</c:v>
                </c:pt>
                <c:pt idx="134">
                  <c:v>88</c:v>
                </c:pt>
                <c:pt idx="135">
                  <c:v>87</c:v>
                </c:pt>
                <c:pt idx="136">
                  <c:v>199</c:v>
                </c:pt>
                <c:pt idx="137">
                  <c:v>148</c:v>
                </c:pt>
                <c:pt idx="138">
                  <c:v>122</c:v>
                </c:pt>
                <c:pt idx="139">
                  <c:v>94</c:v>
                </c:pt>
                <c:pt idx="140">
                  <c:v>44</c:v>
                </c:pt>
                <c:pt idx="141">
                  <c:v>29</c:v>
                </c:pt>
                <c:pt idx="142">
                  <c:v>35</c:v>
                </c:pt>
                <c:pt idx="143">
                  <c:v>8</c:v>
                </c:pt>
                <c:pt idx="144">
                  <c:v>12</c:v>
                </c:pt>
                <c:pt idx="145">
                  <c:v>8</c:v>
                </c:pt>
                <c:pt idx="146">
                  <c:v>3</c:v>
                </c:pt>
                <c:pt idx="147">
                  <c:v>4</c:v>
                </c:pt>
                <c:pt idx="148">
                  <c:v>0</c:v>
                </c:pt>
                <c:pt idx="149">
                  <c:v>1</c:v>
                </c:pt>
                <c:pt idx="150">
                  <c:v>3</c:v>
                </c:pt>
                <c:pt idx="151">
                  <c:v>3</c:v>
                </c:pt>
                <c:pt idx="152">
                  <c:v>1</c:v>
                </c:pt>
                <c:pt idx="153">
                  <c:v>3</c:v>
                </c:pt>
                <c:pt idx="154">
                  <c:v>0</c:v>
                </c:pt>
                <c:pt idx="155">
                  <c:v>5</c:v>
                </c:pt>
                <c:pt idx="156">
                  <c:v>4</c:v>
                </c:pt>
                <c:pt idx="157">
                  <c:v>4</c:v>
                </c:pt>
                <c:pt idx="162">
                  <c:v>1</c:v>
                </c:pt>
                <c:pt idx="163">
                  <c:v>2</c:v>
                </c:pt>
                <c:pt idx="166">
                  <c:v>1</c:v>
                </c:pt>
                <c:pt idx="178">
                  <c:v>1</c:v>
                </c:pt>
                <c:pt idx="180">
                  <c:v>1</c:v>
                </c:pt>
                <c:pt idx="181">
                  <c:v>1</c:v>
                </c:pt>
                <c:pt idx="183">
                  <c:v>1</c:v>
                </c:pt>
                <c:pt idx="185">
                  <c:v>1</c:v>
                </c:pt>
                <c:pt idx="193">
                  <c:v>1</c:v>
                </c:pt>
                <c:pt idx="195">
                  <c:v>1</c:v>
                </c:pt>
                <c:pt idx="196">
                  <c:v>12</c:v>
                </c:pt>
                <c:pt idx="197">
                  <c:v>23</c:v>
                </c:pt>
                <c:pt idx="198">
                  <c:v>19</c:v>
                </c:pt>
                <c:pt idx="199">
                  <c:v>9</c:v>
                </c:pt>
                <c:pt idx="200">
                  <c:v>39</c:v>
                </c:pt>
                <c:pt idx="201">
                  <c:v>18</c:v>
                </c:pt>
                <c:pt idx="202">
                  <c:v>21</c:v>
                </c:pt>
                <c:pt idx="203">
                  <c:v>48</c:v>
                </c:pt>
                <c:pt idx="204">
                  <c:v>26</c:v>
                </c:pt>
                <c:pt idx="205">
                  <c:v>25</c:v>
                </c:pt>
                <c:pt idx="206">
                  <c:v>13</c:v>
                </c:pt>
                <c:pt idx="207">
                  <c:v>23</c:v>
                </c:pt>
                <c:pt idx="208">
                  <c:v>39</c:v>
                </c:pt>
                <c:pt idx="209">
                  <c:v>19</c:v>
                </c:pt>
                <c:pt idx="210">
                  <c:v>8</c:v>
                </c:pt>
                <c:pt idx="211">
                  <c:v>7</c:v>
                </c:pt>
                <c:pt idx="212">
                  <c:v>7</c:v>
                </c:pt>
                <c:pt idx="213">
                  <c:v>6</c:v>
                </c:pt>
                <c:pt idx="215">
                  <c:v>1</c:v>
                </c:pt>
                <c:pt idx="216">
                  <c:v>1</c:v>
                </c:pt>
                <c:pt idx="217">
                  <c:v>2</c:v>
                </c:pt>
                <c:pt idx="218">
                  <c:v>1</c:v>
                </c:pt>
                <c:pt idx="219">
                  <c:v>3</c:v>
                </c:pt>
                <c:pt idx="220">
                  <c:v>2</c:v>
                </c:pt>
                <c:pt idx="221">
                  <c:v>5</c:v>
                </c:pt>
                <c:pt idx="222">
                  <c:v>1</c:v>
                </c:pt>
                <c:pt idx="223">
                  <c:v>8</c:v>
                </c:pt>
                <c:pt idx="224">
                  <c:v>5</c:v>
                </c:pt>
                <c:pt idx="225">
                  <c:v>7</c:v>
                </c:pt>
                <c:pt idx="226">
                  <c:v>13</c:v>
                </c:pt>
                <c:pt idx="227">
                  <c:v>6</c:v>
                </c:pt>
                <c:pt idx="228">
                  <c:v>4</c:v>
                </c:pt>
                <c:pt idx="229">
                  <c:v>8</c:v>
                </c:pt>
                <c:pt idx="230">
                  <c:v>12</c:v>
                </c:pt>
                <c:pt idx="231">
                  <c:v>13</c:v>
                </c:pt>
                <c:pt idx="232">
                  <c:v>8</c:v>
                </c:pt>
                <c:pt idx="233">
                  <c:v>10</c:v>
                </c:pt>
                <c:pt idx="234">
                  <c:v>35</c:v>
                </c:pt>
                <c:pt idx="235">
                  <c:v>35</c:v>
                </c:pt>
                <c:pt idx="236">
                  <c:v>56</c:v>
                </c:pt>
                <c:pt idx="237">
                  <c:v>93</c:v>
                </c:pt>
                <c:pt idx="238">
                  <c:v>139</c:v>
                </c:pt>
                <c:pt idx="239">
                  <c:v>235</c:v>
                </c:pt>
                <c:pt idx="240">
                  <c:v>261</c:v>
                </c:pt>
                <c:pt idx="241">
                  <c:v>250</c:v>
                </c:pt>
                <c:pt idx="242">
                  <c:v>215</c:v>
                </c:pt>
                <c:pt idx="243">
                  <c:v>196</c:v>
                </c:pt>
                <c:pt idx="244">
                  <c:v>195</c:v>
                </c:pt>
                <c:pt idx="245">
                  <c:v>179</c:v>
                </c:pt>
                <c:pt idx="246">
                  <c:v>182</c:v>
                </c:pt>
                <c:pt idx="247">
                  <c:v>137</c:v>
                </c:pt>
                <c:pt idx="248">
                  <c:v>149</c:v>
                </c:pt>
                <c:pt idx="249">
                  <c:v>159</c:v>
                </c:pt>
                <c:pt idx="250">
                  <c:v>126</c:v>
                </c:pt>
                <c:pt idx="251">
                  <c:v>143</c:v>
                </c:pt>
                <c:pt idx="252">
                  <c:v>176</c:v>
                </c:pt>
                <c:pt idx="253">
                  <c:v>121</c:v>
                </c:pt>
                <c:pt idx="254">
                  <c:v>181</c:v>
                </c:pt>
                <c:pt idx="255">
                  <c:v>156</c:v>
                </c:pt>
                <c:pt idx="256">
                  <c:v>216</c:v>
                </c:pt>
                <c:pt idx="257">
                  <c:v>157</c:v>
                </c:pt>
                <c:pt idx="258">
                  <c:v>106</c:v>
                </c:pt>
                <c:pt idx="259">
                  <c:v>107</c:v>
                </c:pt>
                <c:pt idx="260">
                  <c:v>68</c:v>
                </c:pt>
                <c:pt idx="261">
                  <c:v>61</c:v>
                </c:pt>
                <c:pt idx="262">
                  <c:v>49</c:v>
                </c:pt>
                <c:pt idx="263">
                  <c:v>49</c:v>
                </c:pt>
                <c:pt idx="264">
                  <c:v>60</c:v>
                </c:pt>
                <c:pt idx="265">
                  <c:v>93</c:v>
                </c:pt>
                <c:pt idx="266">
                  <c:v>55</c:v>
                </c:pt>
                <c:pt idx="267">
                  <c:v>39</c:v>
                </c:pt>
                <c:pt idx="268">
                  <c:v>56</c:v>
                </c:pt>
                <c:pt idx="269">
                  <c:v>29</c:v>
                </c:pt>
                <c:pt idx="270">
                  <c:v>16</c:v>
                </c:pt>
                <c:pt idx="271">
                  <c:v>23</c:v>
                </c:pt>
                <c:pt idx="272">
                  <c:v>47</c:v>
                </c:pt>
                <c:pt idx="273">
                  <c:v>44</c:v>
                </c:pt>
                <c:pt idx="274">
                  <c:v>78</c:v>
                </c:pt>
                <c:pt idx="275">
                  <c:v>38</c:v>
                </c:pt>
                <c:pt idx="276">
                  <c:v>53</c:v>
                </c:pt>
                <c:pt idx="277">
                  <c:v>64</c:v>
                </c:pt>
                <c:pt idx="278">
                  <c:v>77</c:v>
                </c:pt>
                <c:pt idx="279">
                  <c:v>76</c:v>
                </c:pt>
                <c:pt idx="280">
                  <c:v>62</c:v>
                </c:pt>
                <c:pt idx="281">
                  <c:v>85</c:v>
                </c:pt>
                <c:pt idx="282">
                  <c:v>188</c:v>
                </c:pt>
                <c:pt idx="283">
                  <c:v>43</c:v>
                </c:pt>
                <c:pt idx="284">
                  <c:v>46</c:v>
                </c:pt>
                <c:pt idx="285">
                  <c:v>36</c:v>
                </c:pt>
                <c:pt idx="286">
                  <c:v>58</c:v>
                </c:pt>
                <c:pt idx="287">
                  <c:v>40</c:v>
                </c:pt>
                <c:pt idx="288">
                  <c:v>34</c:v>
                </c:pt>
                <c:pt idx="289">
                  <c:v>44</c:v>
                </c:pt>
                <c:pt idx="290">
                  <c:v>33</c:v>
                </c:pt>
                <c:pt idx="291">
                  <c:v>42</c:v>
                </c:pt>
                <c:pt idx="292">
                  <c:v>23</c:v>
                </c:pt>
                <c:pt idx="293">
                  <c:v>25</c:v>
                </c:pt>
                <c:pt idx="294">
                  <c:v>28</c:v>
                </c:pt>
                <c:pt idx="295">
                  <c:v>30</c:v>
                </c:pt>
                <c:pt idx="296">
                  <c:v>59</c:v>
                </c:pt>
                <c:pt idx="297">
                  <c:v>41</c:v>
                </c:pt>
                <c:pt idx="298">
                  <c:v>34</c:v>
                </c:pt>
                <c:pt idx="299">
                  <c:v>40</c:v>
                </c:pt>
                <c:pt idx="300">
                  <c:v>40</c:v>
                </c:pt>
                <c:pt idx="301">
                  <c:v>66</c:v>
                </c:pt>
                <c:pt idx="302">
                  <c:v>86</c:v>
                </c:pt>
                <c:pt idx="303">
                  <c:v>48</c:v>
                </c:pt>
                <c:pt idx="304">
                  <c:v>36</c:v>
                </c:pt>
                <c:pt idx="305">
                  <c:v>43</c:v>
                </c:pt>
                <c:pt idx="306">
                  <c:v>48</c:v>
                </c:pt>
                <c:pt idx="307">
                  <c:v>31</c:v>
                </c:pt>
                <c:pt idx="308">
                  <c:v>30</c:v>
                </c:pt>
                <c:pt idx="309">
                  <c:v>88</c:v>
                </c:pt>
                <c:pt idx="310">
                  <c:v>93</c:v>
                </c:pt>
                <c:pt idx="311">
                  <c:v>88</c:v>
                </c:pt>
                <c:pt idx="312">
                  <c:v>109</c:v>
                </c:pt>
                <c:pt idx="313">
                  <c:v>104</c:v>
                </c:pt>
                <c:pt idx="314">
                  <c:v>142</c:v>
                </c:pt>
                <c:pt idx="315">
                  <c:v>176</c:v>
                </c:pt>
                <c:pt idx="316">
                  <c:v>296</c:v>
                </c:pt>
                <c:pt idx="317">
                  <c:v>309</c:v>
                </c:pt>
                <c:pt idx="318">
                  <c:v>303</c:v>
                </c:pt>
                <c:pt idx="319">
                  <c:v>403</c:v>
                </c:pt>
                <c:pt idx="320">
                  <c:v>380</c:v>
                </c:pt>
                <c:pt idx="321">
                  <c:v>534</c:v>
                </c:pt>
                <c:pt idx="322">
                  <c:v>612</c:v>
                </c:pt>
                <c:pt idx="323">
                  <c:v>797</c:v>
                </c:pt>
                <c:pt idx="324">
                  <c:v>1037</c:v>
                </c:pt>
                <c:pt idx="325">
                  <c:v>1231</c:v>
                </c:pt>
                <c:pt idx="326">
                  <c:v>1274</c:v>
                </c:pt>
                <c:pt idx="327">
                  <c:v>1295</c:v>
                </c:pt>
                <c:pt idx="328">
                  <c:v>1523</c:v>
                </c:pt>
                <c:pt idx="329">
                  <c:v>1618</c:v>
                </c:pt>
                <c:pt idx="330">
                  <c:v>1846</c:v>
                </c:pt>
                <c:pt idx="331">
                  <c:v>1565</c:v>
                </c:pt>
                <c:pt idx="332">
                  <c:v>1398</c:v>
                </c:pt>
                <c:pt idx="333">
                  <c:v>1405</c:v>
                </c:pt>
                <c:pt idx="334">
                  <c:v>1203</c:v>
                </c:pt>
                <c:pt idx="335">
                  <c:v>1168</c:v>
                </c:pt>
                <c:pt idx="336">
                  <c:v>1102</c:v>
                </c:pt>
                <c:pt idx="337">
                  <c:v>1051</c:v>
                </c:pt>
                <c:pt idx="338">
                  <c:v>1128</c:v>
                </c:pt>
                <c:pt idx="339">
                  <c:v>984</c:v>
                </c:pt>
                <c:pt idx="340">
                  <c:v>704</c:v>
                </c:pt>
                <c:pt idx="341">
                  <c:v>346</c:v>
                </c:pt>
                <c:pt idx="342">
                  <c:v>255</c:v>
                </c:pt>
                <c:pt idx="343">
                  <c:v>162</c:v>
                </c:pt>
                <c:pt idx="344">
                  <c:v>148</c:v>
                </c:pt>
                <c:pt idx="345">
                  <c:v>113</c:v>
                </c:pt>
                <c:pt idx="346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083-449C-B8A0-4CAED72097A2}"/>
            </c:ext>
          </c:extLst>
        </c:ser>
        <c:ser>
          <c:idx val="26"/>
          <c:order val="26"/>
          <c:tx>
            <c:strRef>
              <c:f>[1]画图1!$AB$1</c:f>
              <c:strCache>
                <c:ptCount val="1"/>
                <c:pt idx="0">
                  <c:v>新疆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[1]画图1!$AB$2:$AB$348</c:f>
              <c:numCache>
                <c:formatCode>General</c:formatCode>
                <c:ptCount val="347"/>
                <c:pt idx="22">
                  <c:v>2</c:v>
                </c:pt>
                <c:pt idx="23">
                  <c:v>22</c:v>
                </c:pt>
                <c:pt idx="24">
                  <c:v>8</c:v>
                </c:pt>
                <c:pt idx="25">
                  <c:v>7</c:v>
                </c:pt>
                <c:pt idx="26">
                  <c:v>1</c:v>
                </c:pt>
                <c:pt idx="27">
                  <c:v>5</c:v>
                </c:pt>
                <c:pt idx="28">
                  <c:v>3</c:v>
                </c:pt>
                <c:pt idx="87">
                  <c:v>2</c:v>
                </c:pt>
                <c:pt idx="88">
                  <c:v>24</c:v>
                </c:pt>
                <c:pt idx="89">
                  <c:v>13</c:v>
                </c:pt>
                <c:pt idx="90">
                  <c:v>9</c:v>
                </c:pt>
                <c:pt idx="91">
                  <c:v>5</c:v>
                </c:pt>
                <c:pt idx="92">
                  <c:v>6</c:v>
                </c:pt>
                <c:pt idx="93">
                  <c:v>9</c:v>
                </c:pt>
                <c:pt idx="94">
                  <c:v>7</c:v>
                </c:pt>
                <c:pt idx="95">
                  <c:v>4</c:v>
                </c:pt>
                <c:pt idx="96">
                  <c:v>1</c:v>
                </c:pt>
                <c:pt idx="97">
                  <c:v>2</c:v>
                </c:pt>
                <c:pt idx="98">
                  <c:v>5</c:v>
                </c:pt>
                <c:pt idx="99">
                  <c:v>3</c:v>
                </c:pt>
                <c:pt idx="104">
                  <c:v>3</c:v>
                </c:pt>
                <c:pt idx="107">
                  <c:v>1</c:v>
                </c:pt>
                <c:pt idx="109">
                  <c:v>1</c:v>
                </c:pt>
                <c:pt idx="116">
                  <c:v>2</c:v>
                </c:pt>
                <c:pt idx="117">
                  <c:v>18</c:v>
                </c:pt>
                <c:pt idx="118">
                  <c:v>42</c:v>
                </c:pt>
                <c:pt idx="119">
                  <c:v>48</c:v>
                </c:pt>
                <c:pt idx="120">
                  <c:v>39</c:v>
                </c:pt>
                <c:pt idx="121">
                  <c:v>26</c:v>
                </c:pt>
                <c:pt idx="122">
                  <c:v>11</c:v>
                </c:pt>
                <c:pt idx="123">
                  <c:v>4</c:v>
                </c:pt>
                <c:pt idx="124">
                  <c:v>0</c:v>
                </c:pt>
                <c:pt idx="125">
                  <c:v>3</c:v>
                </c:pt>
                <c:pt idx="143">
                  <c:v>4</c:v>
                </c:pt>
                <c:pt idx="144">
                  <c:v>4</c:v>
                </c:pt>
                <c:pt idx="145">
                  <c:v>8</c:v>
                </c:pt>
                <c:pt idx="146">
                  <c:v>9</c:v>
                </c:pt>
                <c:pt idx="147">
                  <c:v>7</c:v>
                </c:pt>
                <c:pt idx="148">
                  <c:v>5</c:v>
                </c:pt>
                <c:pt idx="149">
                  <c:v>4</c:v>
                </c:pt>
                <c:pt idx="150">
                  <c:v>1</c:v>
                </c:pt>
                <c:pt idx="168">
                  <c:v>1</c:v>
                </c:pt>
                <c:pt idx="169">
                  <c:v>2</c:v>
                </c:pt>
                <c:pt idx="203">
                  <c:v>3</c:v>
                </c:pt>
                <c:pt idx="204">
                  <c:v>1</c:v>
                </c:pt>
                <c:pt idx="210">
                  <c:v>10</c:v>
                </c:pt>
                <c:pt idx="211">
                  <c:v>14</c:v>
                </c:pt>
                <c:pt idx="212">
                  <c:v>32</c:v>
                </c:pt>
                <c:pt idx="213">
                  <c:v>31</c:v>
                </c:pt>
                <c:pt idx="214">
                  <c:v>43</c:v>
                </c:pt>
                <c:pt idx="215">
                  <c:v>41</c:v>
                </c:pt>
                <c:pt idx="216">
                  <c:v>48</c:v>
                </c:pt>
                <c:pt idx="217">
                  <c:v>60</c:v>
                </c:pt>
                <c:pt idx="218">
                  <c:v>80</c:v>
                </c:pt>
                <c:pt idx="219">
                  <c:v>153</c:v>
                </c:pt>
                <c:pt idx="220">
                  <c:v>143</c:v>
                </c:pt>
                <c:pt idx="221">
                  <c:v>380</c:v>
                </c:pt>
                <c:pt idx="222">
                  <c:v>453</c:v>
                </c:pt>
                <c:pt idx="223">
                  <c:v>384</c:v>
                </c:pt>
                <c:pt idx="224">
                  <c:v>450</c:v>
                </c:pt>
                <c:pt idx="225">
                  <c:v>383</c:v>
                </c:pt>
                <c:pt idx="226">
                  <c:v>306</c:v>
                </c:pt>
                <c:pt idx="227">
                  <c:v>363</c:v>
                </c:pt>
                <c:pt idx="228">
                  <c:v>264</c:v>
                </c:pt>
                <c:pt idx="229">
                  <c:v>254</c:v>
                </c:pt>
                <c:pt idx="230">
                  <c:v>204</c:v>
                </c:pt>
                <c:pt idx="231">
                  <c:v>210</c:v>
                </c:pt>
                <c:pt idx="232">
                  <c:v>199</c:v>
                </c:pt>
                <c:pt idx="233">
                  <c:v>180</c:v>
                </c:pt>
                <c:pt idx="234">
                  <c:v>174</c:v>
                </c:pt>
                <c:pt idx="235">
                  <c:v>166</c:v>
                </c:pt>
                <c:pt idx="236">
                  <c:v>133</c:v>
                </c:pt>
                <c:pt idx="237">
                  <c:v>88</c:v>
                </c:pt>
                <c:pt idx="238">
                  <c:v>60</c:v>
                </c:pt>
                <c:pt idx="239">
                  <c:v>52</c:v>
                </c:pt>
                <c:pt idx="240">
                  <c:v>41</c:v>
                </c:pt>
                <c:pt idx="241">
                  <c:v>34</c:v>
                </c:pt>
                <c:pt idx="242">
                  <c:v>33</c:v>
                </c:pt>
                <c:pt idx="243">
                  <c:v>34</c:v>
                </c:pt>
                <c:pt idx="244">
                  <c:v>35</c:v>
                </c:pt>
                <c:pt idx="245">
                  <c:v>33</c:v>
                </c:pt>
                <c:pt idx="246">
                  <c:v>29</c:v>
                </c:pt>
                <c:pt idx="247">
                  <c:v>32</c:v>
                </c:pt>
                <c:pt idx="248">
                  <c:v>29</c:v>
                </c:pt>
                <c:pt idx="249">
                  <c:v>28</c:v>
                </c:pt>
                <c:pt idx="250">
                  <c:v>27</c:v>
                </c:pt>
                <c:pt idx="251">
                  <c:v>27</c:v>
                </c:pt>
                <c:pt idx="252">
                  <c:v>26</c:v>
                </c:pt>
                <c:pt idx="253">
                  <c:v>24</c:v>
                </c:pt>
                <c:pt idx="254">
                  <c:v>23</c:v>
                </c:pt>
                <c:pt idx="255">
                  <c:v>25</c:v>
                </c:pt>
                <c:pt idx="256">
                  <c:v>25</c:v>
                </c:pt>
                <c:pt idx="257">
                  <c:v>23</c:v>
                </c:pt>
                <c:pt idx="258">
                  <c:v>23</c:v>
                </c:pt>
                <c:pt idx="259">
                  <c:v>24</c:v>
                </c:pt>
                <c:pt idx="260">
                  <c:v>19</c:v>
                </c:pt>
                <c:pt idx="261">
                  <c:v>12</c:v>
                </c:pt>
                <c:pt idx="262">
                  <c:v>11</c:v>
                </c:pt>
                <c:pt idx="263">
                  <c:v>9</c:v>
                </c:pt>
                <c:pt idx="264">
                  <c:v>8</c:v>
                </c:pt>
                <c:pt idx="265">
                  <c:v>9</c:v>
                </c:pt>
                <c:pt idx="266">
                  <c:v>9</c:v>
                </c:pt>
                <c:pt idx="267">
                  <c:v>8</c:v>
                </c:pt>
                <c:pt idx="268">
                  <c:v>7</c:v>
                </c:pt>
                <c:pt idx="269">
                  <c:v>10</c:v>
                </c:pt>
                <c:pt idx="270">
                  <c:v>10</c:v>
                </c:pt>
                <c:pt idx="271">
                  <c:v>28</c:v>
                </c:pt>
                <c:pt idx="272">
                  <c:v>30</c:v>
                </c:pt>
                <c:pt idx="273">
                  <c:v>30</c:v>
                </c:pt>
                <c:pt idx="274">
                  <c:v>33</c:v>
                </c:pt>
                <c:pt idx="275">
                  <c:v>38</c:v>
                </c:pt>
                <c:pt idx="276">
                  <c:v>91</c:v>
                </c:pt>
                <c:pt idx="277">
                  <c:v>97</c:v>
                </c:pt>
                <c:pt idx="278">
                  <c:v>96</c:v>
                </c:pt>
                <c:pt idx="279">
                  <c:v>348</c:v>
                </c:pt>
                <c:pt idx="280">
                  <c:v>436</c:v>
                </c:pt>
                <c:pt idx="281">
                  <c:v>441</c:v>
                </c:pt>
                <c:pt idx="282">
                  <c:v>453</c:v>
                </c:pt>
                <c:pt idx="283">
                  <c:v>436</c:v>
                </c:pt>
                <c:pt idx="284">
                  <c:v>401</c:v>
                </c:pt>
                <c:pt idx="285">
                  <c:v>329</c:v>
                </c:pt>
                <c:pt idx="286">
                  <c:v>371</c:v>
                </c:pt>
                <c:pt idx="287">
                  <c:v>293</c:v>
                </c:pt>
                <c:pt idx="288">
                  <c:v>188</c:v>
                </c:pt>
                <c:pt idx="289">
                  <c:v>141</c:v>
                </c:pt>
                <c:pt idx="290">
                  <c:v>122</c:v>
                </c:pt>
                <c:pt idx="291">
                  <c:v>127</c:v>
                </c:pt>
                <c:pt idx="292">
                  <c:v>120</c:v>
                </c:pt>
                <c:pt idx="293">
                  <c:v>133</c:v>
                </c:pt>
                <c:pt idx="294">
                  <c:v>131</c:v>
                </c:pt>
                <c:pt idx="295">
                  <c:v>135</c:v>
                </c:pt>
                <c:pt idx="296">
                  <c:v>133</c:v>
                </c:pt>
                <c:pt idx="297">
                  <c:v>137</c:v>
                </c:pt>
                <c:pt idx="298">
                  <c:v>125</c:v>
                </c:pt>
                <c:pt idx="299">
                  <c:v>122</c:v>
                </c:pt>
                <c:pt idx="300">
                  <c:v>155</c:v>
                </c:pt>
                <c:pt idx="301">
                  <c:v>277</c:v>
                </c:pt>
                <c:pt idx="302">
                  <c:v>388</c:v>
                </c:pt>
                <c:pt idx="303">
                  <c:v>403</c:v>
                </c:pt>
                <c:pt idx="304">
                  <c:v>430</c:v>
                </c:pt>
                <c:pt idx="305">
                  <c:v>401</c:v>
                </c:pt>
                <c:pt idx="306">
                  <c:v>433</c:v>
                </c:pt>
                <c:pt idx="307">
                  <c:v>471</c:v>
                </c:pt>
                <c:pt idx="308">
                  <c:v>539</c:v>
                </c:pt>
                <c:pt idx="309">
                  <c:v>615</c:v>
                </c:pt>
                <c:pt idx="310">
                  <c:v>655</c:v>
                </c:pt>
                <c:pt idx="311">
                  <c:v>698</c:v>
                </c:pt>
                <c:pt idx="312">
                  <c:v>689</c:v>
                </c:pt>
                <c:pt idx="313">
                  <c:v>668</c:v>
                </c:pt>
                <c:pt idx="314">
                  <c:v>718</c:v>
                </c:pt>
                <c:pt idx="315">
                  <c:v>790</c:v>
                </c:pt>
                <c:pt idx="316">
                  <c:v>742</c:v>
                </c:pt>
                <c:pt idx="317">
                  <c:v>799</c:v>
                </c:pt>
                <c:pt idx="318">
                  <c:v>845</c:v>
                </c:pt>
                <c:pt idx="319">
                  <c:v>927</c:v>
                </c:pt>
                <c:pt idx="320">
                  <c:v>962</c:v>
                </c:pt>
                <c:pt idx="321">
                  <c:v>1028</c:v>
                </c:pt>
                <c:pt idx="322">
                  <c:v>935</c:v>
                </c:pt>
                <c:pt idx="323">
                  <c:v>915</c:v>
                </c:pt>
                <c:pt idx="324">
                  <c:v>953</c:v>
                </c:pt>
                <c:pt idx="325">
                  <c:v>955</c:v>
                </c:pt>
                <c:pt idx="326">
                  <c:v>965</c:v>
                </c:pt>
                <c:pt idx="327">
                  <c:v>980</c:v>
                </c:pt>
                <c:pt idx="328">
                  <c:v>968</c:v>
                </c:pt>
                <c:pt idx="329">
                  <c:v>992</c:v>
                </c:pt>
                <c:pt idx="330">
                  <c:v>1007</c:v>
                </c:pt>
                <c:pt idx="331">
                  <c:v>1016</c:v>
                </c:pt>
                <c:pt idx="332">
                  <c:v>1022</c:v>
                </c:pt>
                <c:pt idx="333">
                  <c:v>993</c:v>
                </c:pt>
                <c:pt idx="334">
                  <c:v>830</c:v>
                </c:pt>
                <c:pt idx="335">
                  <c:v>748</c:v>
                </c:pt>
                <c:pt idx="336">
                  <c:v>699</c:v>
                </c:pt>
                <c:pt idx="337">
                  <c:v>676</c:v>
                </c:pt>
                <c:pt idx="338">
                  <c:v>561</c:v>
                </c:pt>
                <c:pt idx="339">
                  <c:v>416</c:v>
                </c:pt>
                <c:pt idx="340">
                  <c:v>237</c:v>
                </c:pt>
                <c:pt idx="341">
                  <c:v>54</c:v>
                </c:pt>
                <c:pt idx="342">
                  <c:v>21</c:v>
                </c:pt>
                <c:pt idx="343">
                  <c:v>10</c:v>
                </c:pt>
                <c:pt idx="344">
                  <c:v>3</c:v>
                </c:pt>
                <c:pt idx="34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083-449C-B8A0-4CAED72097A2}"/>
            </c:ext>
          </c:extLst>
        </c:ser>
        <c:ser>
          <c:idx val="27"/>
          <c:order val="27"/>
          <c:tx>
            <c:strRef>
              <c:f>[1]画图1!$AC$1</c:f>
              <c:strCache>
                <c:ptCount val="1"/>
                <c:pt idx="0">
                  <c:v>云南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[1]画图1!$AC$2:$AC$348</c:f>
              <c:numCache>
                <c:formatCode>General</c:formatCode>
                <c:ptCount val="347"/>
                <c:pt idx="42">
                  <c:v>3</c:v>
                </c:pt>
                <c:pt idx="43">
                  <c:v>7</c:v>
                </c:pt>
                <c:pt idx="44">
                  <c:v>3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7</c:v>
                </c:pt>
                <c:pt idx="49">
                  <c:v>3</c:v>
                </c:pt>
                <c:pt idx="50">
                  <c:v>5</c:v>
                </c:pt>
                <c:pt idx="51">
                  <c:v>5</c:v>
                </c:pt>
                <c:pt idx="52">
                  <c:v>3</c:v>
                </c:pt>
                <c:pt idx="53">
                  <c:v>10</c:v>
                </c:pt>
                <c:pt idx="54">
                  <c:v>14</c:v>
                </c:pt>
                <c:pt idx="55">
                  <c:v>20</c:v>
                </c:pt>
                <c:pt idx="56">
                  <c:v>14</c:v>
                </c:pt>
                <c:pt idx="57">
                  <c:v>23</c:v>
                </c:pt>
                <c:pt idx="58">
                  <c:v>12</c:v>
                </c:pt>
                <c:pt idx="59">
                  <c:v>10</c:v>
                </c:pt>
                <c:pt idx="60">
                  <c:v>10</c:v>
                </c:pt>
                <c:pt idx="61">
                  <c:v>4</c:v>
                </c:pt>
                <c:pt idx="62">
                  <c:v>10</c:v>
                </c:pt>
                <c:pt idx="63">
                  <c:v>21</c:v>
                </c:pt>
                <c:pt idx="64">
                  <c:v>22</c:v>
                </c:pt>
                <c:pt idx="65">
                  <c:v>23</c:v>
                </c:pt>
                <c:pt idx="66">
                  <c:v>28</c:v>
                </c:pt>
                <c:pt idx="67">
                  <c:v>24</c:v>
                </c:pt>
                <c:pt idx="68">
                  <c:v>30</c:v>
                </c:pt>
                <c:pt idx="69">
                  <c:v>23</c:v>
                </c:pt>
                <c:pt idx="70">
                  <c:v>22</c:v>
                </c:pt>
                <c:pt idx="71">
                  <c:v>39</c:v>
                </c:pt>
                <c:pt idx="72">
                  <c:v>28</c:v>
                </c:pt>
                <c:pt idx="73">
                  <c:v>38</c:v>
                </c:pt>
                <c:pt idx="74">
                  <c:v>29</c:v>
                </c:pt>
                <c:pt idx="75">
                  <c:v>29</c:v>
                </c:pt>
                <c:pt idx="76">
                  <c:v>29</c:v>
                </c:pt>
                <c:pt idx="77">
                  <c:v>21</c:v>
                </c:pt>
                <c:pt idx="78">
                  <c:v>29</c:v>
                </c:pt>
                <c:pt idx="79">
                  <c:v>13</c:v>
                </c:pt>
                <c:pt idx="80">
                  <c:v>17</c:v>
                </c:pt>
                <c:pt idx="81">
                  <c:v>16</c:v>
                </c:pt>
                <c:pt idx="82">
                  <c:v>18</c:v>
                </c:pt>
                <c:pt idx="83">
                  <c:v>12</c:v>
                </c:pt>
                <c:pt idx="84">
                  <c:v>13</c:v>
                </c:pt>
                <c:pt idx="85">
                  <c:v>12</c:v>
                </c:pt>
                <c:pt idx="86">
                  <c:v>6</c:v>
                </c:pt>
                <c:pt idx="87">
                  <c:v>3</c:v>
                </c:pt>
                <c:pt idx="88">
                  <c:v>7</c:v>
                </c:pt>
                <c:pt idx="89">
                  <c:v>2</c:v>
                </c:pt>
                <c:pt idx="90">
                  <c:v>6</c:v>
                </c:pt>
                <c:pt idx="91">
                  <c:v>6</c:v>
                </c:pt>
                <c:pt idx="92">
                  <c:v>3</c:v>
                </c:pt>
                <c:pt idx="93">
                  <c:v>16</c:v>
                </c:pt>
                <c:pt idx="94">
                  <c:v>5</c:v>
                </c:pt>
                <c:pt idx="95">
                  <c:v>6</c:v>
                </c:pt>
                <c:pt idx="96">
                  <c:v>9</c:v>
                </c:pt>
                <c:pt idx="97">
                  <c:v>3</c:v>
                </c:pt>
                <c:pt idx="98">
                  <c:v>3</c:v>
                </c:pt>
                <c:pt idx="99">
                  <c:v>9</c:v>
                </c:pt>
                <c:pt idx="100">
                  <c:v>5</c:v>
                </c:pt>
                <c:pt idx="101">
                  <c:v>11</c:v>
                </c:pt>
                <c:pt idx="102">
                  <c:v>10</c:v>
                </c:pt>
                <c:pt idx="103">
                  <c:v>22</c:v>
                </c:pt>
                <c:pt idx="104">
                  <c:v>56</c:v>
                </c:pt>
                <c:pt idx="105">
                  <c:v>51</c:v>
                </c:pt>
                <c:pt idx="106">
                  <c:v>31</c:v>
                </c:pt>
                <c:pt idx="107">
                  <c:v>14</c:v>
                </c:pt>
                <c:pt idx="108">
                  <c:v>5</c:v>
                </c:pt>
                <c:pt idx="109">
                  <c:v>7</c:v>
                </c:pt>
                <c:pt idx="110">
                  <c:v>11</c:v>
                </c:pt>
                <c:pt idx="111">
                  <c:v>14</c:v>
                </c:pt>
                <c:pt idx="112">
                  <c:v>8</c:v>
                </c:pt>
                <c:pt idx="113">
                  <c:v>14</c:v>
                </c:pt>
                <c:pt idx="114">
                  <c:v>6</c:v>
                </c:pt>
                <c:pt idx="115">
                  <c:v>3</c:v>
                </c:pt>
                <c:pt idx="116">
                  <c:v>1</c:v>
                </c:pt>
                <c:pt idx="117">
                  <c:v>3</c:v>
                </c:pt>
                <c:pt idx="118">
                  <c:v>4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0</c:v>
                </c:pt>
                <c:pt idx="123">
                  <c:v>2</c:v>
                </c:pt>
                <c:pt idx="124">
                  <c:v>2</c:v>
                </c:pt>
                <c:pt idx="13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2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3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1</c:v>
                </c:pt>
                <c:pt idx="166">
                  <c:v>1</c:v>
                </c:pt>
                <c:pt idx="174">
                  <c:v>2</c:v>
                </c:pt>
                <c:pt idx="176">
                  <c:v>1</c:v>
                </c:pt>
                <c:pt idx="178">
                  <c:v>1</c:v>
                </c:pt>
                <c:pt idx="199">
                  <c:v>3</c:v>
                </c:pt>
                <c:pt idx="201">
                  <c:v>3</c:v>
                </c:pt>
                <c:pt idx="202">
                  <c:v>7</c:v>
                </c:pt>
                <c:pt idx="203">
                  <c:v>15</c:v>
                </c:pt>
                <c:pt idx="204">
                  <c:v>9</c:v>
                </c:pt>
                <c:pt idx="205">
                  <c:v>7</c:v>
                </c:pt>
                <c:pt idx="206">
                  <c:v>2</c:v>
                </c:pt>
                <c:pt idx="208">
                  <c:v>1</c:v>
                </c:pt>
                <c:pt idx="209">
                  <c:v>1</c:v>
                </c:pt>
                <c:pt idx="211">
                  <c:v>2</c:v>
                </c:pt>
                <c:pt idx="213">
                  <c:v>1</c:v>
                </c:pt>
                <c:pt idx="214">
                  <c:v>1</c:v>
                </c:pt>
                <c:pt idx="220">
                  <c:v>1</c:v>
                </c:pt>
                <c:pt idx="222">
                  <c:v>1</c:v>
                </c:pt>
                <c:pt idx="225">
                  <c:v>1</c:v>
                </c:pt>
                <c:pt idx="226">
                  <c:v>3</c:v>
                </c:pt>
                <c:pt idx="227">
                  <c:v>5</c:v>
                </c:pt>
                <c:pt idx="228">
                  <c:v>4</c:v>
                </c:pt>
                <c:pt idx="229">
                  <c:v>1</c:v>
                </c:pt>
                <c:pt idx="230">
                  <c:v>5</c:v>
                </c:pt>
                <c:pt idx="231">
                  <c:v>4</c:v>
                </c:pt>
                <c:pt idx="232">
                  <c:v>5</c:v>
                </c:pt>
                <c:pt idx="233">
                  <c:v>2</c:v>
                </c:pt>
                <c:pt idx="234">
                  <c:v>3</c:v>
                </c:pt>
                <c:pt idx="235">
                  <c:v>3</c:v>
                </c:pt>
                <c:pt idx="236">
                  <c:v>1</c:v>
                </c:pt>
                <c:pt idx="237">
                  <c:v>1</c:v>
                </c:pt>
                <c:pt idx="239">
                  <c:v>2</c:v>
                </c:pt>
                <c:pt idx="243">
                  <c:v>1</c:v>
                </c:pt>
                <c:pt idx="244">
                  <c:v>1</c:v>
                </c:pt>
                <c:pt idx="246">
                  <c:v>1</c:v>
                </c:pt>
                <c:pt idx="249">
                  <c:v>6</c:v>
                </c:pt>
                <c:pt idx="250">
                  <c:v>5</c:v>
                </c:pt>
                <c:pt idx="251">
                  <c:v>2</c:v>
                </c:pt>
                <c:pt idx="252">
                  <c:v>3</c:v>
                </c:pt>
                <c:pt idx="253">
                  <c:v>1</c:v>
                </c:pt>
                <c:pt idx="254">
                  <c:v>5</c:v>
                </c:pt>
                <c:pt idx="256">
                  <c:v>2</c:v>
                </c:pt>
                <c:pt idx="257">
                  <c:v>5</c:v>
                </c:pt>
                <c:pt idx="258">
                  <c:v>4</c:v>
                </c:pt>
                <c:pt idx="259">
                  <c:v>6</c:v>
                </c:pt>
                <c:pt idx="260">
                  <c:v>4</c:v>
                </c:pt>
                <c:pt idx="261">
                  <c:v>4</c:v>
                </c:pt>
                <c:pt idx="262">
                  <c:v>6</c:v>
                </c:pt>
                <c:pt idx="263">
                  <c:v>3</c:v>
                </c:pt>
                <c:pt idx="264">
                  <c:v>5</c:v>
                </c:pt>
                <c:pt idx="265">
                  <c:v>14</c:v>
                </c:pt>
                <c:pt idx="266">
                  <c:v>1</c:v>
                </c:pt>
                <c:pt idx="267">
                  <c:v>6</c:v>
                </c:pt>
                <c:pt idx="268">
                  <c:v>29</c:v>
                </c:pt>
                <c:pt idx="269">
                  <c:v>12</c:v>
                </c:pt>
                <c:pt idx="270">
                  <c:v>26</c:v>
                </c:pt>
                <c:pt idx="271">
                  <c:v>31</c:v>
                </c:pt>
                <c:pt idx="272">
                  <c:v>21</c:v>
                </c:pt>
                <c:pt idx="273">
                  <c:v>14</c:v>
                </c:pt>
                <c:pt idx="274">
                  <c:v>33</c:v>
                </c:pt>
                <c:pt idx="275">
                  <c:v>40</c:v>
                </c:pt>
                <c:pt idx="276">
                  <c:v>71</c:v>
                </c:pt>
                <c:pt idx="277">
                  <c:v>35</c:v>
                </c:pt>
                <c:pt idx="278">
                  <c:v>44</c:v>
                </c:pt>
                <c:pt idx="279">
                  <c:v>38</c:v>
                </c:pt>
                <c:pt idx="280">
                  <c:v>47</c:v>
                </c:pt>
                <c:pt idx="281">
                  <c:v>75</c:v>
                </c:pt>
                <c:pt idx="282">
                  <c:v>47</c:v>
                </c:pt>
                <c:pt idx="283">
                  <c:v>52</c:v>
                </c:pt>
                <c:pt idx="284">
                  <c:v>57</c:v>
                </c:pt>
                <c:pt idx="285">
                  <c:v>58</c:v>
                </c:pt>
                <c:pt idx="286">
                  <c:v>34</c:v>
                </c:pt>
                <c:pt idx="287">
                  <c:v>31</c:v>
                </c:pt>
                <c:pt idx="288">
                  <c:v>35</c:v>
                </c:pt>
                <c:pt idx="289">
                  <c:v>33</c:v>
                </c:pt>
                <c:pt idx="290">
                  <c:v>32</c:v>
                </c:pt>
                <c:pt idx="291">
                  <c:v>47</c:v>
                </c:pt>
                <c:pt idx="292">
                  <c:v>40</c:v>
                </c:pt>
                <c:pt idx="293">
                  <c:v>40</c:v>
                </c:pt>
                <c:pt idx="294">
                  <c:v>25</c:v>
                </c:pt>
                <c:pt idx="295">
                  <c:v>34</c:v>
                </c:pt>
                <c:pt idx="296">
                  <c:v>33</c:v>
                </c:pt>
                <c:pt idx="297">
                  <c:v>30</c:v>
                </c:pt>
                <c:pt idx="298">
                  <c:v>10</c:v>
                </c:pt>
                <c:pt idx="299">
                  <c:v>30</c:v>
                </c:pt>
                <c:pt idx="300">
                  <c:v>33</c:v>
                </c:pt>
                <c:pt idx="301">
                  <c:v>56</c:v>
                </c:pt>
                <c:pt idx="302">
                  <c:v>73</c:v>
                </c:pt>
                <c:pt idx="303">
                  <c:v>101</c:v>
                </c:pt>
                <c:pt idx="304">
                  <c:v>30</c:v>
                </c:pt>
                <c:pt idx="305">
                  <c:v>54</c:v>
                </c:pt>
                <c:pt idx="306">
                  <c:v>38</c:v>
                </c:pt>
                <c:pt idx="307">
                  <c:v>67</c:v>
                </c:pt>
                <c:pt idx="308">
                  <c:v>49</c:v>
                </c:pt>
                <c:pt idx="309">
                  <c:v>39</c:v>
                </c:pt>
                <c:pt idx="310">
                  <c:v>41</c:v>
                </c:pt>
                <c:pt idx="311">
                  <c:v>52</c:v>
                </c:pt>
                <c:pt idx="312">
                  <c:v>104</c:v>
                </c:pt>
                <c:pt idx="313">
                  <c:v>119</c:v>
                </c:pt>
                <c:pt idx="314">
                  <c:v>80</c:v>
                </c:pt>
                <c:pt idx="315">
                  <c:v>287</c:v>
                </c:pt>
                <c:pt idx="316">
                  <c:v>146</c:v>
                </c:pt>
                <c:pt idx="317">
                  <c:v>269</c:v>
                </c:pt>
                <c:pt idx="318">
                  <c:v>205</c:v>
                </c:pt>
                <c:pt idx="319">
                  <c:v>199</c:v>
                </c:pt>
                <c:pt idx="320">
                  <c:v>167</c:v>
                </c:pt>
                <c:pt idx="321">
                  <c:v>133</c:v>
                </c:pt>
                <c:pt idx="322">
                  <c:v>157</c:v>
                </c:pt>
                <c:pt idx="323">
                  <c:v>130</c:v>
                </c:pt>
                <c:pt idx="324">
                  <c:v>307</c:v>
                </c:pt>
                <c:pt idx="325">
                  <c:v>339</c:v>
                </c:pt>
                <c:pt idx="326">
                  <c:v>279</c:v>
                </c:pt>
                <c:pt idx="327">
                  <c:v>345</c:v>
                </c:pt>
                <c:pt idx="328">
                  <c:v>475</c:v>
                </c:pt>
                <c:pt idx="329">
                  <c:v>488</c:v>
                </c:pt>
                <c:pt idx="330">
                  <c:v>643</c:v>
                </c:pt>
                <c:pt idx="331">
                  <c:v>679</c:v>
                </c:pt>
                <c:pt idx="332">
                  <c:v>696</c:v>
                </c:pt>
                <c:pt idx="333">
                  <c:v>955</c:v>
                </c:pt>
                <c:pt idx="334">
                  <c:v>1164</c:v>
                </c:pt>
                <c:pt idx="335">
                  <c:v>1047</c:v>
                </c:pt>
                <c:pt idx="336">
                  <c:v>1024</c:v>
                </c:pt>
                <c:pt idx="337">
                  <c:v>791</c:v>
                </c:pt>
                <c:pt idx="338">
                  <c:v>490</c:v>
                </c:pt>
                <c:pt idx="339">
                  <c:v>453</c:v>
                </c:pt>
                <c:pt idx="340">
                  <c:v>445</c:v>
                </c:pt>
                <c:pt idx="341">
                  <c:v>328</c:v>
                </c:pt>
                <c:pt idx="342">
                  <c:v>266</c:v>
                </c:pt>
                <c:pt idx="343">
                  <c:v>143</c:v>
                </c:pt>
                <c:pt idx="344">
                  <c:v>101</c:v>
                </c:pt>
                <c:pt idx="345">
                  <c:v>96</c:v>
                </c:pt>
                <c:pt idx="34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083-449C-B8A0-4CAED72097A2}"/>
            </c:ext>
          </c:extLst>
        </c:ser>
        <c:ser>
          <c:idx val="28"/>
          <c:order val="28"/>
          <c:tx>
            <c:strRef>
              <c:f>[1]画图1!$AD$1</c:f>
              <c:strCache>
                <c:ptCount val="1"/>
                <c:pt idx="0">
                  <c:v>浙江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[1]画图1!$AD$2:$AD$348</c:f>
              <c:numCache>
                <c:formatCode>General</c:formatCode>
                <c:ptCount val="347"/>
                <c:pt idx="0">
                  <c:v>7</c:v>
                </c:pt>
                <c:pt idx="1">
                  <c:v>9</c:v>
                </c:pt>
                <c:pt idx="2">
                  <c:v>8</c:v>
                </c:pt>
                <c:pt idx="3">
                  <c:v>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25">
                  <c:v>6</c:v>
                </c:pt>
                <c:pt idx="26">
                  <c:v>16</c:v>
                </c:pt>
                <c:pt idx="27">
                  <c:v>18</c:v>
                </c:pt>
                <c:pt idx="28">
                  <c:v>0</c:v>
                </c:pt>
                <c:pt idx="29">
                  <c:v>24</c:v>
                </c:pt>
                <c:pt idx="30">
                  <c:v>13</c:v>
                </c:pt>
                <c:pt idx="31">
                  <c:v>15</c:v>
                </c:pt>
                <c:pt idx="32">
                  <c:v>1</c:v>
                </c:pt>
                <c:pt idx="33">
                  <c:v>2</c:v>
                </c:pt>
                <c:pt idx="61">
                  <c:v>2</c:v>
                </c:pt>
                <c:pt idx="62">
                  <c:v>0</c:v>
                </c:pt>
                <c:pt idx="63">
                  <c:v>3</c:v>
                </c:pt>
                <c:pt idx="64">
                  <c:v>1</c:v>
                </c:pt>
                <c:pt idx="65">
                  <c:v>4</c:v>
                </c:pt>
                <c:pt idx="66">
                  <c:v>1</c:v>
                </c:pt>
                <c:pt idx="67">
                  <c:v>3</c:v>
                </c:pt>
                <c:pt idx="68">
                  <c:v>16</c:v>
                </c:pt>
                <c:pt idx="69">
                  <c:v>25</c:v>
                </c:pt>
                <c:pt idx="70">
                  <c:v>15</c:v>
                </c:pt>
                <c:pt idx="71">
                  <c:v>8</c:v>
                </c:pt>
                <c:pt idx="72">
                  <c:v>38</c:v>
                </c:pt>
                <c:pt idx="73">
                  <c:v>29</c:v>
                </c:pt>
                <c:pt idx="74">
                  <c:v>31</c:v>
                </c:pt>
                <c:pt idx="75">
                  <c:v>21</c:v>
                </c:pt>
                <c:pt idx="76">
                  <c:v>21</c:v>
                </c:pt>
                <c:pt idx="77">
                  <c:v>31</c:v>
                </c:pt>
                <c:pt idx="78">
                  <c:v>18</c:v>
                </c:pt>
                <c:pt idx="79">
                  <c:v>7</c:v>
                </c:pt>
                <c:pt idx="80">
                  <c:v>5</c:v>
                </c:pt>
                <c:pt idx="81">
                  <c:v>4</c:v>
                </c:pt>
                <c:pt idx="82">
                  <c:v>1</c:v>
                </c:pt>
                <c:pt idx="83">
                  <c:v>1</c:v>
                </c:pt>
                <c:pt idx="84">
                  <c:v>5</c:v>
                </c:pt>
                <c:pt idx="85">
                  <c:v>3</c:v>
                </c:pt>
                <c:pt idx="86">
                  <c:v>11</c:v>
                </c:pt>
                <c:pt idx="87">
                  <c:v>13</c:v>
                </c:pt>
                <c:pt idx="88">
                  <c:v>24</c:v>
                </c:pt>
                <c:pt idx="89">
                  <c:v>13</c:v>
                </c:pt>
                <c:pt idx="90">
                  <c:v>25</c:v>
                </c:pt>
                <c:pt idx="91">
                  <c:v>14</c:v>
                </c:pt>
                <c:pt idx="92">
                  <c:v>16</c:v>
                </c:pt>
                <c:pt idx="93">
                  <c:v>36</c:v>
                </c:pt>
                <c:pt idx="94">
                  <c:v>63</c:v>
                </c:pt>
                <c:pt idx="95">
                  <c:v>47</c:v>
                </c:pt>
                <c:pt idx="96">
                  <c:v>42</c:v>
                </c:pt>
                <c:pt idx="97">
                  <c:v>29</c:v>
                </c:pt>
                <c:pt idx="98">
                  <c:v>38</c:v>
                </c:pt>
                <c:pt idx="99">
                  <c:v>34</c:v>
                </c:pt>
                <c:pt idx="100">
                  <c:v>25</c:v>
                </c:pt>
                <c:pt idx="101">
                  <c:v>25</c:v>
                </c:pt>
                <c:pt idx="102">
                  <c:v>15</c:v>
                </c:pt>
                <c:pt idx="103">
                  <c:v>12</c:v>
                </c:pt>
                <c:pt idx="104">
                  <c:v>12</c:v>
                </c:pt>
                <c:pt idx="105">
                  <c:v>28</c:v>
                </c:pt>
                <c:pt idx="106">
                  <c:v>68</c:v>
                </c:pt>
                <c:pt idx="107">
                  <c:v>46</c:v>
                </c:pt>
                <c:pt idx="108">
                  <c:v>51</c:v>
                </c:pt>
                <c:pt idx="109">
                  <c:v>32</c:v>
                </c:pt>
                <c:pt idx="110">
                  <c:v>56</c:v>
                </c:pt>
                <c:pt idx="111">
                  <c:v>61</c:v>
                </c:pt>
                <c:pt idx="112">
                  <c:v>34</c:v>
                </c:pt>
                <c:pt idx="113">
                  <c:v>20</c:v>
                </c:pt>
                <c:pt idx="114">
                  <c:v>38</c:v>
                </c:pt>
                <c:pt idx="115">
                  <c:v>32</c:v>
                </c:pt>
                <c:pt idx="116">
                  <c:v>22</c:v>
                </c:pt>
                <c:pt idx="117">
                  <c:v>23</c:v>
                </c:pt>
                <c:pt idx="118">
                  <c:v>25</c:v>
                </c:pt>
                <c:pt idx="119">
                  <c:v>18</c:v>
                </c:pt>
                <c:pt idx="120">
                  <c:v>18</c:v>
                </c:pt>
                <c:pt idx="121">
                  <c:v>34</c:v>
                </c:pt>
                <c:pt idx="122">
                  <c:v>20</c:v>
                </c:pt>
                <c:pt idx="123">
                  <c:v>34</c:v>
                </c:pt>
                <c:pt idx="124">
                  <c:v>24</c:v>
                </c:pt>
                <c:pt idx="125">
                  <c:v>18</c:v>
                </c:pt>
                <c:pt idx="126">
                  <c:v>27</c:v>
                </c:pt>
                <c:pt idx="127">
                  <c:v>17</c:v>
                </c:pt>
                <c:pt idx="128">
                  <c:v>9</c:v>
                </c:pt>
                <c:pt idx="129">
                  <c:v>7</c:v>
                </c:pt>
                <c:pt idx="130">
                  <c:v>20</c:v>
                </c:pt>
                <c:pt idx="131">
                  <c:v>4</c:v>
                </c:pt>
                <c:pt idx="132">
                  <c:v>2</c:v>
                </c:pt>
                <c:pt idx="133">
                  <c:v>3</c:v>
                </c:pt>
                <c:pt idx="134">
                  <c:v>0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2</c:v>
                </c:pt>
                <c:pt idx="140">
                  <c:v>1</c:v>
                </c:pt>
                <c:pt idx="141">
                  <c:v>1</c:v>
                </c:pt>
                <c:pt idx="142">
                  <c:v>4</c:v>
                </c:pt>
                <c:pt idx="143">
                  <c:v>5</c:v>
                </c:pt>
                <c:pt idx="144">
                  <c:v>1</c:v>
                </c:pt>
                <c:pt idx="145">
                  <c:v>1</c:v>
                </c:pt>
                <c:pt idx="146">
                  <c:v>2</c:v>
                </c:pt>
                <c:pt idx="147">
                  <c:v>2</c:v>
                </c:pt>
                <c:pt idx="152">
                  <c:v>1</c:v>
                </c:pt>
                <c:pt idx="156">
                  <c:v>1</c:v>
                </c:pt>
                <c:pt idx="157">
                  <c:v>2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8">
                  <c:v>1</c:v>
                </c:pt>
                <c:pt idx="180">
                  <c:v>2</c:v>
                </c:pt>
                <c:pt idx="181">
                  <c:v>3</c:v>
                </c:pt>
                <c:pt idx="182">
                  <c:v>3</c:v>
                </c:pt>
                <c:pt idx="183">
                  <c:v>2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1</c:v>
                </c:pt>
                <c:pt idx="196">
                  <c:v>1</c:v>
                </c:pt>
                <c:pt idx="198">
                  <c:v>1</c:v>
                </c:pt>
                <c:pt idx="205">
                  <c:v>1</c:v>
                </c:pt>
                <c:pt idx="206">
                  <c:v>1</c:v>
                </c:pt>
                <c:pt idx="213">
                  <c:v>4</c:v>
                </c:pt>
                <c:pt idx="214">
                  <c:v>50</c:v>
                </c:pt>
                <c:pt idx="215">
                  <c:v>57</c:v>
                </c:pt>
                <c:pt idx="216">
                  <c:v>95</c:v>
                </c:pt>
                <c:pt idx="217">
                  <c:v>71</c:v>
                </c:pt>
                <c:pt idx="218">
                  <c:v>82</c:v>
                </c:pt>
                <c:pt idx="219">
                  <c:v>67</c:v>
                </c:pt>
                <c:pt idx="220">
                  <c:v>49</c:v>
                </c:pt>
                <c:pt idx="221">
                  <c:v>59</c:v>
                </c:pt>
                <c:pt idx="222">
                  <c:v>60</c:v>
                </c:pt>
                <c:pt idx="223">
                  <c:v>39</c:v>
                </c:pt>
                <c:pt idx="224">
                  <c:v>45</c:v>
                </c:pt>
                <c:pt idx="225">
                  <c:v>30</c:v>
                </c:pt>
                <c:pt idx="226">
                  <c:v>42</c:v>
                </c:pt>
                <c:pt idx="227">
                  <c:v>36</c:v>
                </c:pt>
                <c:pt idx="228">
                  <c:v>21</c:v>
                </c:pt>
                <c:pt idx="229">
                  <c:v>9</c:v>
                </c:pt>
                <c:pt idx="230">
                  <c:v>9</c:v>
                </c:pt>
                <c:pt idx="231">
                  <c:v>2</c:v>
                </c:pt>
                <c:pt idx="232">
                  <c:v>4</c:v>
                </c:pt>
                <c:pt idx="233">
                  <c:v>2</c:v>
                </c:pt>
                <c:pt idx="234">
                  <c:v>1</c:v>
                </c:pt>
                <c:pt idx="235">
                  <c:v>2</c:v>
                </c:pt>
                <c:pt idx="236">
                  <c:v>2</c:v>
                </c:pt>
                <c:pt idx="237">
                  <c:v>6</c:v>
                </c:pt>
                <c:pt idx="238">
                  <c:v>1</c:v>
                </c:pt>
                <c:pt idx="242">
                  <c:v>1</c:v>
                </c:pt>
                <c:pt idx="243">
                  <c:v>4</c:v>
                </c:pt>
                <c:pt idx="244">
                  <c:v>3</c:v>
                </c:pt>
                <c:pt idx="245">
                  <c:v>5</c:v>
                </c:pt>
                <c:pt idx="246">
                  <c:v>1</c:v>
                </c:pt>
                <c:pt idx="247">
                  <c:v>3</c:v>
                </c:pt>
                <c:pt idx="248">
                  <c:v>1</c:v>
                </c:pt>
                <c:pt idx="252">
                  <c:v>1</c:v>
                </c:pt>
                <c:pt idx="256">
                  <c:v>1</c:v>
                </c:pt>
                <c:pt idx="258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2</c:v>
                </c:pt>
                <c:pt idx="265">
                  <c:v>5</c:v>
                </c:pt>
                <c:pt idx="266">
                  <c:v>2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2</c:v>
                </c:pt>
                <c:pt idx="271">
                  <c:v>7</c:v>
                </c:pt>
                <c:pt idx="272">
                  <c:v>6</c:v>
                </c:pt>
                <c:pt idx="273">
                  <c:v>4</c:v>
                </c:pt>
                <c:pt idx="274">
                  <c:v>7</c:v>
                </c:pt>
                <c:pt idx="275">
                  <c:v>21</c:v>
                </c:pt>
                <c:pt idx="276">
                  <c:v>14</c:v>
                </c:pt>
                <c:pt idx="277">
                  <c:v>19</c:v>
                </c:pt>
                <c:pt idx="278">
                  <c:v>15</c:v>
                </c:pt>
                <c:pt idx="279">
                  <c:v>7</c:v>
                </c:pt>
                <c:pt idx="280">
                  <c:v>10</c:v>
                </c:pt>
                <c:pt idx="281">
                  <c:v>9</c:v>
                </c:pt>
                <c:pt idx="282">
                  <c:v>8</c:v>
                </c:pt>
                <c:pt idx="283">
                  <c:v>6</c:v>
                </c:pt>
                <c:pt idx="284">
                  <c:v>3</c:v>
                </c:pt>
                <c:pt idx="285">
                  <c:v>3</c:v>
                </c:pt>
                <c:pt idx="286">
                  <c:v>9</c:v>
                </c:pt>
                <c:pt idx="287">
                  <c:v>17</c:v>
                </c:pt>
                <c:pt idx="288">
                  <c:v>21</c:v>
                </c:pt>
                <c:pt idx="289">
                  <c:v>34</c:v>
                </c:pt>
                <c:pt idx="290">
                  <c:v>48</c:v>
                </c:pt>
                <c:pt idx="291">
                  <c:v>27</c:v>
                </c:pt>
                <c:pt idx="292">
                  <c:v>24</c:v>
                </c:pt>
                <c:pt idx="293">
                  <c:v>14</c:v>
                </c:pt>
                <c:pt idx="294">
                  <c:v>18</c:v>
                </c:pt>
                <c:pt idx="295">
                  <c:v>7</c:v>
                </c:pt>
                <c:pt idx="296">
                  <c:v>2</c:v>
                </c:pt>
                <c:pt idx="297">
                  <c:v>4</c:v>
                </c:pt>
                <c:pt idx="298">
                  <c:v>3</c:v>
                </c:pt>
                <c:pt idx="299">
                  <c:v>4</c:v>
                </c:pt>
                <c:pt idx="300">
                  <c:v>2</c:v>
                </c:pt>
                <c:pt idx="301">
                  <c:v>3</c:v>
                </c:pt>
                <c:pt idx="302">
                  <c:v>3</c:v>
                </c:pt>
                <c:pt idx="304">
                  <c:v>4</c:v>
                </c:pt>
                <c:pt idx="306">
                  <c:v>5</c:v>
                </c:pt>
                <c:pt idx="307">
                  <c:v>6</c:v>
                </c:pt>
                <c:pt idx="308">
                  <c:v>2</c:v>
                </c:pt>
                <c:pt idx="309">
                  <c:v>5</c:v>
                </c:pt>
                <c:pt idx="310">
                  <c:v>4</c:v>
                </c:pt>
                <c:pt idx="311">
                  <c:v>7</c:v>
                </c:pt>
                <c:pt idx="312">
                  <c:v>4</c:v>
                </c:pt>
                <c:pt idx="313">
                  <c:v>14</c:v>
                </c:pt>
                <c:pt idx="314">
                  <c:v>47</c:v>
                </c:pt>
                <c:pt idx="315">
                  <c:v>31</c:v>
                </c:pt>
                <c:pt idx="316">
                  <c:v>66</c:v>
                </c:pt>
                <c:pt idx="317">
                  <c:v>48</c:v>
                </c:pt>
                <c:pt idx="318">
                  <c:v>46</c:v>
                </c:pt>
                <c:pt idx="319">
                  <c:v>43</c:v>
                </c:pt>
                <c:pt idx="320">
                  <c:v>45</c:v>
                </c:pt>
                <c:pt idx="321">
                  <c:v>53</c:v>
                </c:pt>
                <c:pt idx="322">
                  <c:v>50</c:v>
                </c:pt>
                <c:pt idx="323">
                  <c:v>80</c:v>
                </c:pt>
                <c:pt idx="324">
                  <c:v>84</c:v>
                </c:pt>
                <c:pt idx="325">
                  <c:v>96</c:v>
                </c:pt>
                <c:pt idx="326">
                  <c:v>119</c:v>
                </c:pt>
                <c:pt idx="327">
                  <c:v>165</c:v>
                </c:pt>
                <c:pt idx="328">
                  <c:v>147</c:v>
                </c:pt>
                <c:pt idx="329">
                  <c:v>177</c:v>
                </c:pt>
                <c:pt idx="330">
                  <c:v>229</c:v>
                </c:pt>
                <c:pt idx="331">
                  <c:v>237</c:v>
                </c:pt>
                <c:pt idx="332">
                  <c:v>269</c:v>
                </c:pt>
                <c:pt idx="333">
                  <c:v>253</c:v>
                </c:pt>
                <c:pt idx="334">
                  <c:v>351</c:v>
                </c:pt>
                <c:pt idx="335">
                  <c:v>464</c:v>
                </c:pt>
                <c:pt idx="336">
                  <c:v>517</c:v>
                </c:pt>
                <c:pt idx="337">
                  <c:v>505</c:v>
                </c:pt>
                <c:pt idx="338">
                  <c:v>311</c:v>
                </c:pt>
                <c:pt idx="339">
                  <c:v>287</c:v>
                </c:pt>
                <c:pt idx="340">
                  <c:v>279</c:v>
                </c:pt>
                <c:pt idx="341">
                  <c:v>220</c:v>
                </c:pt>
                <c:pt idx="342">
                  <c:v>181</c:v>
                </c:pt>
                <c:pt idx="343">
                  <c:v>160</c:v>
                </c:pt>
                <c:pt idx="344">
                  <c:v>171</c:v>
                </c:pt>
                <c:pt idx="345">
                  <c:v>297</c:v>
                </c:pt>
                <c:pt idx="346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083-449C-B8A0-4CAED72097A2}"/>
            </c:ext>
          </c:extLst>
        </c:ser>
        <c:ser>
          <c:idx val="29"/>
          <c:order val="29"/>
          <c:tx>
            <c:strRef>
              <c:f>[1]画图1!$AE$1</c:f>
              <c:strCache>
                <c:ptCount val="1"/>
                <c:pt idx="0">
                  <c:v>湖北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[1]画图1!$AE$2:$AE$348</c:f>
              <c:numCache>
                <c:formatCode>General</c:formatCode>
                <c:ptCount val="347"/>
                <c:pt idx="85">
                  <c:v>2</c:v>
                </c:pt>
                <c:pt idx="86">
                  <c:v>0</c:v>
                </c:pt>
                <c:pt idx="87">
                  <c:v>1</c:v>
                </c:pt>
                <c:pt idx="88">
                  <c:v>5</c:v>
                </c:pt>
                <c:pt idx="89">
                  <c:v>5</c:v>
                </c:pt>
                <c:pt idx="90">
                  <c:v>11</c:v>
                </c:pt>
                <c:pt idx="91">
                  <c:v>18</c:v>
                </c:pt>
                <c:pt idx="92">
                  <c:v>9</c:v>
                </c:pt>
                <c:pt idx="93">
                  <c:v>16</c:v>
                </c:pt>
                <c:pt idx="94">
                  <c:v>6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17</c:v>
                </c:pt>
                <c:pt idx="99">
                  <c:v>33</c:v>
                </c:pt>
                <c:pt idx="100">
                  <c:v>37</c:v>
                </c:pt>
                <c:pt idx="101">
                  <c:v>45</c:v>
                </c:pt>
                <c:pt idx="102">
                  <c:v>42</c:v>
                </c:pt>
                <c:pt idx="103">
                  <c:v>30</c:v>
                </c:pt>
                <c:pt idx="104">
                  <c:v>41</c:v>
                </c:pt>
                <c:pt idx="105">
                  <c:v>12</c:v>
                </c:pt>
                <c:pt idx="106">
                  <c:v>11</c:v>
                </c:pt>
                <c:pt idx="107">
                  <c:v>14</c:v>
                </c:pt>
                <c:pt idx="108">
                  <c:v>4</c:v>
                </c:pt>
                <c:pt idx="109">
                  <c:v>3</c:v>
                </c:pt>
                <c:pt idx="110">
                  <c:v>0</c:v>
                </c:pt>
                <c:pt idx="111">
                  <c:v>3</c:v>
                </c:pt>
                <c:pt idx="112">
                  <c:v>4</c:v>
                </c:pt>
                <c:pt idx="113">
                  <c:v>2</c:v>
                </c:pt>
                <c:pt idx="114">
                  <c:v>3</c:v>
                </c:pt>
                <c:pt idx="115">
                  <c:v>2</c:v>
                </c:pt>
                <c:pt idx="116">
                  <c:v>0</c:v>
                </c:pt>
                <c:pt idx="117">
                  <c:v>7</c:v>
                </c:pt>
                <c:pt idx="118">
                  <c:v>1</c:v>
                </c:pt>
                <c:pt idx="122">
                  <c:v>1</c:v>
                </c:pt>
                <c:pt idx="123">
                  <c:v>1</c:v>
                </c:pt>
                <c:pt idx="126">
                  <c:v>1</c:v>
                </c:pt>
                <c:pt idx="129">
                  <c:v>2</c:v>
                </c:pt>
                <c:pt idx="132">
                  <c:v>1</c:v>
                </c:pt>
                <c:pt idx="134">
                  <c:v>4</c:v>
                </c:pt>
                <c:pt idx="136">
                  <c:v>1</c:v>
                </c:pt>
                <c:pt idx="138">
                  <c:v>1</c:v>
                </c:pt>
                <c:pt idx="139">
                  <c:v>1</c:v>
                </c:pt>
                <c:pt idx="147">
                  <c:v>1</c:v>
                </c:pt>
                <c:pt idx="180">
                  <c:v>2</c:v>
                </c:pt>
                <c:pt idx="206">
                  <c:v>4</c:v>
                </c:pt>
                <c:pt idx="207">
                  <c:v>2</c:v>
                </c:pt>
                <c:pt idx="218">
                  <c:v>10</c:v>
                </c:pt>
                <c:pt idx="219">
                  <c:v>4</c:v>
                </c:pt>
                <c:pt idx="220">
                  <c:v>25</c:v>
                </c:pt>
                <c:pt idx="221">
                  <c:v>8</c:v>
                </c:pt>
                <c:pt idx="222">
                  <c:v>6</c:v>
                </c:pt>
                <c:pt idx="223">
                  <c:v>9</c:v>
                </c:pt>
                <c:pt idx="224">
                  <c:v>4</c:v>
                </c:pt>
                <c:pt idx="225">
                  <c:v>10</c:v>
                </c:pt>
                <c:pt idx="226">
                  <c:v>11</c:v>
                </c:pt>
                <c:pt idx="227">
                  <c:v>6</c:v>
                </c:pt>
                <c:pt idx="229">
                  <c:v>14</c:v>
                </c:pt>
                <c:pt idx="230">
                  <c:v>15</c:v>
                </c:pt>
                <c:pt idx="231">
                  <c:v>16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13</c:v>
                </c:pt>
                <c:pt idx="236">
                  <c:v>13</c:v>
                </c:pt>
                <c:pt idx="237">
                  <c:v>16</c:v>
                </c:pt>
                <c:pt idx="238">
                  <c:v>12</c:v>
                </c:pt>
                <c:pt idx="239">
                  <c:v>27</c:v>
                </c:pt>
                <c:pt idx="240">
                  <c:v>32</c:v>
                </c:pt>
                <c:pt idx="241">
                  <c:v>28</c:v>
                </c:pt>
                <c:pt idx="242">
                  <c:v>32</c:v>
                </c:pt>
                <c:pt idx="243">
                  <c:v>20</c:v>
                </c:pt>
                <c:pt idx="244">
                  <c:v>27</c:v>
                </c:pt>
                <c:pt idx="245">
                  <c:v>16</c:v>
                </c:pt>
                <c:pt idx="246">
                  <c:v>18</c:v>
                </c:pt>
                <c:pt idx="247">
                  <c:v>15</c:v>
                </c:pt>
                <c:pt idx="248">
                  <c:v>7</c:v>
                </c:pt>
                <c:pt idx="249">
                  <c:v>12</c:v>
                </c:pt>
                <c:pt idx="250">
                  <c:v>12</c:v>
                </c:pt>
                <c:pt idx="251">
                  <c:v>40</c:v>
                </c:pt>
                <c:pt idx="252">
                  <c:v>45</c:v>
                </c:pt>
                <c:pt idx="253">
                  <c:v>38</c:v>
                </c:pt>
                <c:pt idx="254">
                  <c:v>32</c:v>
                </c:pt>
                <c:pt idx="255">
                  <c:v>18</c:v>
                </c:pt>
                <c:pt idx="256">
                  <c:v>30</c:v>
                </c:pt>
                <c:pt idx="257">
                  <c:v>30</c:v>
                </c:pt>
                <c:pt idx="258">
                  <c:v>25</c:v>
                </c:pt>
                <c:pt idx="259">
                  <c:v>12</c:v>
                </c:pt>
                <c:pt idx="260">
                  <c:v>1</c:v>
                </c:pt>
                <c:pt idx="261">
                  <c:v>11</c:v>
                </c:pt>
                <c:pt idx="262">
                  <c:v>9</c:v>
                </c:pt>
                <c:pt idx="263">
                  <c:v>19</c:v>
                </c:pt>
                <c:pt idx="264">
                  <c:v>16</c:v>
                </c:pt>
                <c:pt idx="265">
                  <c:v>1</c:v>
                </c:pt>
                <c:pt idx="267">
                  <c:v>2</c:v>
                </c:pt>
                <c:pt idx="269">
                  <c:v>12</c:v>
                </c:pt>
                <c:pt idx="270">
                  <c:v>6</c:v>
                </c:pt>
                <c:pt idx="271">
                  <c:v>4</c:v>
                </c:pt>
                <c:pt idx="273">
                  <c:v>6</c:v>
                </c:pt>
                <c:pt idx="274">
                  <c:v>4</c:v>
                </c:pt>
                <c:pt idx="275">
                  <c:v>9</c:v>
                </c:pt>
                <c:pt idx="276">
                  <c:v>18</c:v>
                </c:pt>
                <c:pt idx="277">
                  <c:v>46</c:v>
                </c:pt>
                <c:pt idx="278">
                  <c:v>56</c:v>
                </c:pt>
                <c:pt idx="279">
                  <c:v>108</c:v>
                </c:pt>
                <c:pt idx="280">
                  <c:v>31</c:v>
                </c:pt>
                <c:pt idx="281">
                  <c:v>48</c:v>
                </c:pt>
                <c:pt idx="282">
                  <c:v>29</c:v>
                </c:pt>
                <c:pt idx="283">
                  <c:v>9</c:v>
                </c:pt>
                <c:pt idx="284">
                  <c:v>15</c:v>
                </c:pt>
                <c:pt idx="285">
                  <c:v>22</c:v>
                </c:pt>
                <c:pt idx="286">
                  <c:v>38</c:v>
                </c:pt>
                <c:pt idx="287">
                  <c:v>29</c:v>
                </c:pt>
                <c:pt idx="288">
                  <c:v>23</c:v>
                </c:pt>
                <c:pt idx="289">
                  <c:v>37</c:v>
                </c:pt>
                <c:pt idx="290">
                  <c:v>39</c:v>
                </c:pt>
                <c:pt idx="291">
                  <c:v>30</c:v>
                </c:pt>
                <c:pt idx="292">
                  <c:v>40</c:v>
                </c:pt>
                <c:pt idx="293">
                  <c:v>37</c:v>
                </c:pt>
                <c:pt idx="294">
                  <c:v>39</c:v>
                </c:pt>
                <c:pt idx="295">
                  <c:v>29</c:v>
                </c:pt>
                <c:pt idx="296">
                  <c:v>27</c:v>
                </c:pt>
                <c:pt idx="297">
                  <c:v>32</c:v>
                </c:pt>
                <c:pt idx="298">
                  <c:v>53</c:v>
                </c:pt>
                <c:pt idx="299">
                  <c:v>57</c:v>
                </c:pt>
                <c:pt idx="300">
                  <c:v>70</c:v>
                </c:pt>
                <c:pt idx="301">
                  <c:v>96</c:v>
                </c:pt>
                <c:pt idx="302">
                  <c:v>82</c:v>
                </c:pt>
                <c:pt idx="303">
                  <c:v>76</c:v>
                </c:pt>
                <c:pt idx="304">
                  <c:v>65</c:v>
                </c:pt>
                <c:pt idx="305">
                  <c:v>77</c:v>
                </c:pt>
                <c:pt idx="306">
                  <c:v>75</c:v>
                </c:pt>
                <c:pt idx="307">
                  <c:v>61</c:v>
                </c:pt>
                <c:pt idx="308">
                  <c:v>67</c:v>
                </c:pt>
                <c:pt idx="309">
                  <c:v>62</c:v>
                </c:pt>
                <c:pt idx="310">
                  <c:v>60</c:v>
                </c:pt>
                <c:pt idx="311">
                  <c:v>105</c:v>
                </c:pt>
                <c:pt idx="312">
                  <c:v>113</c:v>
                </c:pt>
                <c:pt idx="313">
                  <c:v>100</c:v>
                </c:pt>
                <c:pt idx="314">
                  <c:v>100</c:v>
                </c:pt>
                <c:pt idx="315">
                  <c:v>82</c:v>
                </c:pt>
                <c:pt idx="316">
                  <c:v>76</c:v>
                </c:pt>
                <c:pt idx="317">
                  <c:v>79</c:v>
                </c:pt>
                <c:pt idx="318">
                  <c:v>82</c:v>
                </c:pt>
                <c:pt idx="319">
                  <c:v>113</c:v>
                </c:pt>
                <c:pt idx="320">
                  <c:v>147</c:v>
                </c:pt>
                <c:pt idx="321">
                  <c:v>214</c:v>
                </c:pt>
                <c:pt idx="322">
                  <c:v>249</c:v>
                </c:pt>
                <c:pt idx="323">
                  <c:v>331</c:v>
                </c:pt>
                <c:pt idx="324">
                  <c:v>362</c:v>
                </c:pt>
                <c:pt idx="325">
                  <c:v>398</c:v>
                </c:pt>
                <c:pt idx="326">
                  <c:v>496</c:v>
                </c:pt>
                <c:pt idx="327">
                  <c:v>571</c:v>
                </c:pt>
                <c:pt idx="328">
                  <c:v>706</c:v>
                </c:pt>
                <c:pt idx="329">
                  <c:v>705</c:v>
                </c:pt>
                <c:pt idx="330">
                  <c:v>683</c:v>
                </c:pt>
                <c:pt idx="331">
                  <c:v>649</c:v>
                </c:pt>
                <c:pt idx="332">
                  <c:v>663</c:v>
                </c:pt>
                <c:pt idx="333">
                  <c:v>677</c:v>
                </c:pt>
                <c:pt idx="334">
                  <c:v>726</c:v>
                </c:pt>
                <c:pt idx="335">
                  <c:v>637</c:v>
                </c:pt>
                <c:pt idx="336">
                  <c:v>488</c:v>
                </c:pt>
                <c:pt idx="337">
                  <c:v>398</c:v>
                </c:pt>
                <c:pt idx="338">
                  <c:v>438</c:v>
                </c:pt>
                <c:pt idx="339">
                  <c:v>449</c:v>
                </c:pt>
                <c:pt idx="340">
                  <c:v>311</c:v>
                </c:pt>
                <c:pt idx="341">
                  <c:v>270</c:v>
                </c:pt>
                <c:pt idx="342">
                  <c:v>246</c:v>
                </c:pt>
                <c:pt idx="343">
                  <c:v>225</c:v>
                </c:pt>
                <c:pt idx="344">
                  <c:v>158</c:v>
                </c:pt>
                <c:pt idx="345">
                  <c:v>106</c:v>
                </c:pt>
                <c:pt idx="34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083-449C-B8A0-4CAED72097A2}"/>
            </c:ext>
          </c:extLst>
        </c:ser>
        <c:ser>
          <c:idx val="30"/>
          <c:order val="30"/>
          <c:tx>
            <c:strRef>
              <c:f>[1]画图1!$AF$1</c:f>
              <c:strCache>
                <c:ptCount val="1"/>
                <c:pt idx="0">
                  <c:v>西藏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[1]画图1!$A$2:$A$348</c:f>
              <c:numCache>
                <c:formatCode>General</c:formatCode>
                <c:ptCount val="347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  <c:pt idx="32">
                  <c:v>44594</c:v>
                </c:pt>
                <c:pt idx="33">
                  <c:v>44595</c:v>
                </c:pt>
                <c:pt idx="34">
                  <c:v>44596</c:v>
                </c:pt>
                <c:pt idx="35">
                  <c:v>44597</c:v>
                </c:pt>
                <c:pt idx="36">
                  <c:v>44598</c:v>
                </c:pt>
                <c:pt idx="37">
                  <c:v>44599</c:v>
                </c:pt>
                <c:pt idx="38">
                  <c:v>44600</c:v>
                </c:pt>
                <c:pt idx="39">
                  <c:v>44601</c:v>
                </c:pt>
                <c:pt idx="40">
                  <c:v>44602</c:v>
                </c:pt>
                <c:pt idx="41">
                  <c:v>44603</c:v>
                </c:pt>
                <c:pt idx="42">
                  <c:v>44604</c:v>
                </c:pt>
                <c:pt idx="43">
                  <c:v>44605</c:v>
                </c:pt>
                <c:pt idx="44">
                  <c:v>44606</c:v>
                </c:pt>
                <c:pt idx="45">
                  <c:v>44607</c:v>
                </c:pt>
                <c:pt idx="46">
                  <c:v>44608</c:v>
                </c:pt>
                <c:pt idx="47">
                  <c:v>44609</c:v>
                </c:pt>
                <c:pt idx="48">
                  <c:v>44610</c:v>
                </c:pt>
                <c:pt idx="49">
                  <c:v>44611</c:v>
                </c:pt>
                <c:pt idx="50">
                  <c:v>44612</c:v>
                </c:pt>
                <c:pt idx="51">
                  <c:v>44613</c:v>
                </c:pt>
                <c:pt idx="52">
                  <c:v>44614</c:v>
                </c:pt>
                <c:pt idx="53">
                  <c:v>44615</c:v>
                </c:pt>
                <c:pt idx="54">
                  <c:v>44616</c:v>
                </c:pt>
                <c:pt idx="55">
                  <c:v>44617</c:v>
                </c:pt>
                <c:pt idx="56">
                  <c:v>44618</c:v>
                </c:pt>
                <c:pt idx="57">
                  <c:v>44619</c:v>
                </c:pt>
                <c:pt idx="58">
                  <c:v>44620</c:v>
                </c:pt>
                <c:pt idx="59">
                  <c:v>44621</c:v>
                </c:pt>
                <c:pt idx="60">
                  <c:v>44622</c:v>
                </c:pt>
                <c:pt idx="61">
                  <c:v>44623</c:v>
                </c:pt>
                <c:pt idx="62">
                  <c:v>44624</c:v>
                </c:pt>
                <c:pt idx="63">
                  <c:v>44625</c:v>
                </c:pt>
                <c:pt idx="64">
                  <c:v>44626</c:v>
                </c:pt>
                <c:pt idx="65">
                  <c:v>44627</c:v>
                </c:pt>
                <c:pt idx="66">
                  <c:v>44628</c:v>
                </c:pt>
                <c:pt idx="67">
                  <c:v>44629</c:v>
                </c:pt>
                <c:pt idx="68">
                  <c:v>44630</c:v>
                </c:pt>
                <c:pt idx="69">
                  <c:v>44631</c:v>
                </c:pt>
                <c:pt idx="70">
                  <c:v>44632</c:v>
                </c:pt>
                <c:pt idx="71">
                  <c:v>44633</c:v>
                </c:pt>
                <c:pt idx="72">
                  <c:v>44634</c:v>
                </c:pt>
                <c:pt idx="73">
                  <c:v>44635</c:v>
                </c:pt>
                <c:pt idx="74">
                  <c:v>44636</c:v>
                </c:pt>
                <c:pt idx="75">
                  <c:v>44637</c:v>
                </c:pt>
                <c:pt idx="76">
                  <c:v>44638</c:v>
                </c:pt>
                <c:pt idx="77">
                  <c:v>44639</c:v>
                </c:pt>
                <c:pt idx="78">
                  <c:v>44640</c:v>
                </c:pt>
                <c:pt idx="79">
                  <c:v>44641</c:v>
                </c:pt>
                <c:pt idx="80">
                  <c:v>44642</c:v>
                </c:pt>
                <c:pt idx="81">
                  <c:v>44643</c:v>
                </c:pt>
                <c:pt idx="82">
                  <c:v>44644</c:v>
                </c:pt>
                <c:pt idx="83">
                  <c:v>44645</c:v>
                </c:pt>
                <c:pt idx="84">
                  <c:v>44646</c:v>
                </c:pt>
                <c:pt idx="85">
                  <c:v>44647</c:v>
                </c:pt>
                <c:pt idx="86">
                  <c:v>44648</c:v>
                </c:pt>
                <c:pt idx="87">
                  <c:v>44649</c:v>
                </c:pt>
                <c:pt idx="88">
                  <c:v>44650</c:v>
                </c:pt>
                <c:pt idx="89">
                  <c:v>44651</c:v>
                </c:pt>
                <c:pt idx="90">
                  <c:v>44652</c:v>
                </c:pt>
                <c:pt idx="91">
                  <c:v>44653</c:v>
                </c:pt>
                <c:pt idx="92">
                  <c:v>44654</c:v>
                </c:pt>
                <c:pt idx="93">
                  <c:v>44655</c:v>
                </c:pt>
                <c:pt idx="94">
                  <c:v>44656</c:v>
                </c:pt>
                <c:pt idx="95">
                  <c:v>44657</c:v>
                </c:pt>
                <c:pt idx="96">
                  <c:v>44658</c:v>
                </c:pt>
                <c:pt idx="97">
                  <c:v>44659</c:v>
                </c:pt>
                <c:pt idx="98">
                  <c:v>44660</c:v>
                </c:pt>
                <c:pt idx="99">
                  <c:v>44661</c:v>
                </c:pt>
                <c:pt idx="100">
                  <c:v>44662</c:v>
                </c:pt>
                <c:pt idx="101">
                  <c:v>44663</c:v>
                </c:pt>
                <c:pt idx="102">
                  <c:v>44664</c:v>
                </c:pt>
                <c:pt idx="103">
                  <c:v>44665</c:v>
                </c:pt>
                <c:pt idx="104">
                  <c:v>44666</c:v>
                </c:pt>
                <c:pt idx="105">
                  <c:v>44667</c:v>
                </c:pt>
                <c:pt idx="106">
                  <c:v>44668</c:v>
                </c:pt>
                <c:pt idx="107">
                  <c:v>44669</c:v>
                </c:pt>
                <c:pt idx="108">
                  <c:v>44670</c:v>
                </c:pt>
                <c:pt idx="109">
                  <c:v>44671</c:v>
                </c:pt>
                <c:pt idx="110">
                  <c:v>44672</c:v>
                </c:pt>
                <c:pt idx="111">
                  <c:v>44673</c:v>
                </c:pt>
                <c:pt idx="112">
                  <c:v>44674</c:v>
                </c:pt>
                <c:pt idx="113">
                  <c:v>44675</c:v>
                </c:pt>
                <c:pt idx="114">
                  <c:v>44676</c:v>
                </c:pt>
                <c:pt idx="115">
                  <c:v>44677</c:v>
                </c:pt>
                <c:pt idx="116">
                  <c:v>44678</c:v>
                </c:pt>
                <c:pt idx="117">
                  <c:v>44679</c:v>
                </c:pt>
                <c:pt idx="118">
                  <c:v>44680</c:v>
                </c:pt>
                <c:pt idx="119">
                  <c:v>44681</c:v>
                </c:pt>
                <c:pt idx="120">
                  <c:v>44682</c:v>
                </c:pt>
                <c:pt idx="121">
                  <c:v>44683</c:v>
                </c:pt>
                <c:pt idx="122">
                  <c:v>44684</c:v>
                </c:pt>
                <c:pt idx="123">
                  <c:v>44685</c:v>
                </c:pt>
                <c:pt idx="124">
                  <c:v>44686</c:v>
                </c:pt>
                <c:pt idx="125">
                  <c:v>44687</c:v>
                </c:pt>
                <c:pt idx="126">
                  <c:v>44688</c:v>
                </c:pt>
                <c:pt idx="127">
                  <c:v>44689</c:v>
                </c:pt>
                <c:pt idx="128">
                  <c:v>44690</c:v>
                </c:pt>
                <c:pt idx="129">
                  <c:v>44691</c:v>
                </c:pt>
                <c:pt idx="130">
                  <c:v>44692</c:v>
                </c:pt>
                <c:pt idx="131">
                  <c:v>44693</c:v>
                </c:pt>
                <c:pt idx="132">
                  <c:v>44694</c:v>
                </c:pt>
                <c:pt idx="133">
                  <c:v>44695</c:v>
                </c:pt>
                <c:pt idx="134">
                  <c:v>44696</c:v>
                </c:pt>
                <c:pt idx="135">
                  <c:v>44697</c:v>
                </c:pt>
                <c:pt idx="136">
                  <c:v>44698</c:v>
                </c:pt>
                <c:pt idx="137">
                  <c:v>44699</c:v>
                </c:pt>
                <c:pt idx="138">
                  <c:v>44700</c:v>
                </c:pt>
                <c:pt idx="139">
                  <c:v>44701</c:v>
                </c:pt>
                <c:pt idx="140">
                  <c:v>44702</c:v>
                </c:pt>
                <c:pt idx="141">
                  <c:v>44703</c:v>
                </c:pt>
                <c:pt idx="142">
                  <c:v>44704</c:v>
                </c:pt>
                <c:pt idx="143">
                  <c:v>44705</c:v>
                </c:pt>
                <c:pt idx="144">
                  <c:v>44706</c:v>
                </c:pt>
                <c:pt idx="145">
                  <c:v>44707</c:v>
                </c:pt>
                <c:pt idx="146">
                  <c:v>44708</c:v>
                </c:pt>
                <c:pt idx="147">
                  <c:v>44709</c:v>
                </c:pt>
                <c:pt idx="148">
                  <c:v>44710</c:v>
                </c:pt>
                <c:pt idx="149">
                  <c:v>44711</c:v>
                </c:pt>
                <c:pt idx="150">
                  <c:v>44712</c:v>
                </c:pt>
                <c:pt idx="151">
                  <c:v>44713</c:v>
                </c:pt>
                <c:pt idx="152">
                  <c:v>44714</c:v>
                </c:pt>
                <c:pt idx="153">
                  <c:v>44715</c:v>
                </c:pt>
                <c:pt idx="154">
                  <c:v>44716</c:v>
                </c:pt>
                <c:pt idx="155">
                  <c:v>44717</c:v>
                </c:pt>
                <c:pt idx="156">
                  <c:v>44718</c:v>
                </c:pt>
                <c:pt idx="157">
                  <c:v>44719</c:v>
                </c:pt>
                <c:pt idx="158">
                  <c:v>44720</c:v>
                </c:pt>
                <c:pt idx="159">
                  <c:v>44721</c:v>
                </c:pt>
                <c:pt idx="160">
                  <c:v>44722</c:v>
                </c:pt>
                <c:pt idx="161">
                  <c:v>44723</c:v>
                </c:pt>
                <c:pt idx="162">
                  <c:v>44724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44728</c:v>
                </c:pt>
                <c:pt idx="167">
                  <c:v>44729</c:v>
                </c:pt>
                <c:pt idx="168">
                  <c:v>44730</c:v>
                </c:pt>
                <c:pt idx="169">
                  <c:v>44731</c:v>
                </c:pt>
                <c:pt idx="170">
                  <c:v>44732</c:v>
                </c:pt>
                <c:pt idx="171">
                  <c:v>44733</c:v>
                </c:pt>
                <c:pt idx="172">
                  <c:v>44734</c:v>
                </c:pt>
                <c:pt idx="173">
                  <c:v>44735</c:v>
                </c:pt>
                <c:pt idx="174">
                  <c:v>44736</c:v>
                </c:pt>
                <c:pt idx="175">
                  <c:v>44737</c:v>
                </c:pt>
                <c:pt idx="176">
                  <c:v>44738</c:v>
                </c:pt>
                <c:pt idx="177">
                  <c:v>44739</c:v>
                </c:pt>
                <c:pt idx="178">
                  <c:v>44740</c:v>
                </c:pt>
                <c:pt idx="179">
                  <c:v>44741</c:v>
                </c:pt>
                <c:pt idx="180">
                  <c:v>44742</c:v>
                </c:pt>
                <c:pt idx="181">
                  <c:v>44743</c:v>
                </c:pt>
                <c:pt idx="182">
                  <c:v>44744</c:v>
                </c:pt>
                <c:pt idx="183">
                  <c:v>44745</c:v>
                </c:pt>
                <c:pt idx="184">
                  <c:v>44746</c:v>
                </c:pt>
                <c:pt idx="185">
                  <c:v>44747</c:v>
                </c:pt>
                <c:pt idx="186">
                  <c:v>44748</c:v>
                </c:pt>
                <c:pt idx="187">
                  <c:v>44749</c:v>
                </c:pt>
                <c:pt idx="188">
                  <c:v>44750</c:v>
                </c:pt>
                <c:pt idx="189">
                  <c:v>44751</c:v>
                </c:pt>
                <c:pt idx="190">
                  <c:v>44752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44758</c:v>
                </c:pt>
                <c:pt idx="197">
                  <c:v>44759</c:v>
                </c:pt>
                <c:pt idx="198">
                  <c:v>44760</c:v>
                </c:pt>
                <c:pt idx="199">
                  <c:v>44761</c:v>
                </c:pt>
                <c:pt idx="200">
                  <c:v>44762</c:v>
                </c:pt>
                <c:pt idx="201">
                  <c:v>44763</c:v>
                </c:pt>
                <c:pt idx="202">
                  <c:v>44764</c:v>
                </c:pt>
                <c:pt idx="203">
                  <c:v>44765</c:v>
                </c:pt>
                <c:pt idx="204">
                  <c:v>44766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44772</c:v>
                </c:pt>
                <c:pt idx="211">
                  <c:v>44773</c:v>
                </c:pt>
                <c:pt idx="212">
                  <c:v>44774</c:v>
                </c:pt>
                <c:pt idx="213">
                  <c:v>44775</c:v>
                </c:pt>
                <c:pt idx="214">
                  <c:v>44776</c:v>
                </c:pt>
                <c:pt idx="215">
                  <c:v>44777</c:v>
                </c:pt>
                <c:pt idx="216">
                  <c:v>44778</c:v>
                </c:pt>
                <c:pt idx="217">
                  <c:v>44779</c:v>
                </c:pt>
                <c:pt idx="218">
                  <c:v>44780</c:v>
                </c:pt>
                <c:pt idx="219">
                  <c:v>44781</c:v>
                </c:pt>
                <c:pt idx="220">
                  <c:v>44782</c:v>
                </c:pt>
                <c:pt idx="221">
                  <c:v>44783</c:v>
                </c:pt>
                <c:pt idx="222">
                  <c:v>44784</c:v>
                </c:pt>
                <c:pt idx="223">
                  <c:v>44785</c:v>
                </c:pt>
                <c:pt idx="224">
                  <c:v>44786</c:v>
                </c:pt>
                <c:pt idx="225">
                  <c:v>44787</c:v>
                </c:pt>
                <c:pt idx="226">
                  <c:v>44788</c:v>
                </c:pt>
                <c:pt idx="227">
                  <c:v>44789</c:v>
                </c:pt>
                <c:pt idx="228">
                  <c:v>44790</c:v>
                </c:pt>
                <c:pt idx="229">
                  <c:v>44791</c:v>
                </c:pt>
                <c:pt idx="230">
                  <c:v>44792</c:v>
                </c:pt>
                <c:pt idx="231">
                  <c:v>44793</c:v>
                </c:pt>
                <c:pt idx="232">
                  <c:v>44794</c:v>
                </c:pt>
                <c:pt idx="233">
                  <c:v>44795</c:v>
                </c:pt>
                <c:pt idx="234">
                  <c:v>44796</c:v>
                </c:pt>
                <c:pt idx="235">
                  <c:v>44797</c:v>
                </c:pt>
                <c:pt idx="236">
                  <c:v>44798</c:v>
                </c:pt>
                <c:pt idx="237">
                  <c:v>44799</c:v>
                </c:pt>
                <c:pt idx="238">
                  <c:v>44800</c:v>
                </c:pt>
                <c:pt idx="239">
                  <c:v>44801</c:v>
                </c:pt>
                <c:pt idx="240">
                  <c:v>44802</c:v>
                </c:pt>
                <c:pt idx="241">
                  <c:v>44803</c:v>
                </c:pt>
                <c:pt idx="242">
                  <c:v>44804</c:v>
                </c:pt>
                <c:pt idx="243">
                  <c:v>44805</c:v>
                </c:pt>
                <c:pt idx="244">
                  <c:v>44806</c:v>
                </c:pt>
                <c:pt idx="245">
                  <c:v>44807</c:v>
                </c:pt>
                <c:pt idx="246">
                  <c:v>44808</c:v>
                </c:pt>
                <c:pt idx="247">
                  <c:v>44809</c:v>
                </c:pt>
                <c:pt idx="248">
                  <c:v>44810</c:v>
                </c:pt>
                <c:pt idx="249">
                  <c:v>44811</c:v>
                </c:pt>
                <c:pt idx="250">
                  <c:v>44812</c:v>
                </c:pt>
                <c:pt idx="251">
                  <c:v>44813</c:v>
                </c:pt>
                <c:pt idx="252">
                  <c:v>44814</c:v>
                </c:pt>
                <c:pt idx="253">
                  <c:v>44815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44821</c:v>
                </c:pt>
                <c:pt idx="260">
                  <c:v>44822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44828</c:v>
                </c:pt>
                <c:pt idx="267">
                  <c:v>44829</c:v>
                </c:pt>
                <c:pt idx="268">
                  <c:v>44830</c:v>
                </c:pt>
                <c:pt idx="269">
                  <c:v>44831</c:v>
                </c:pt>
                <c:pt idx="270">
                  <c:v>44832</c:v>
                </c:pt>
                <c:pt idx="271">
                  <c:v>44833</c:v>
                </c:pt>
                <c:pt idx="272">
                  <c:v>44834</c:v>
                </c:pt>
                <c:pt idx="273">
                  <c:v>44835</c:v>
                </c:pt>
                <c:pt idx="274">
                  <c:v>44836</c:v>
                </c:pt>
                <c:pt idx="275">
                  <c:v>44837</c:v>
                </c:pt>
                <c:pt idx="276">
                  <c:v>44838</c:v>
                </c:pt>
                <c:pt idx="277">
                  <c:v>44839</c:v>
                </c:pt>
                <c:pt idx="278">
                  <c:v>44840</c:v>
                </c:pt>
                <c:pt idx="279">
                  <c:v>44841</c:v>
                </c:pt>
                <c:pt idx="280">
                  <c:v>44842</c:v>
                </c:pt>
                <c:pt idx="281">
                  <c:v>44843</c:v>
                </c:pt>
                <c:pt idx="282">
                  <c:v>44844</c:v>
                </c:pt>
                <c:pt idx="283">
                  <c:v>44845</c:v>
                </c:pt>
                <c:pt idx="284">
                  <c:v>44846</c:v>
                </c:pt>
                <c:pt idx="285">
                  <c:v>44847</c:v>
                </c:pt>
                <c:pt idx="286">
                  <c:v>44848</c:v>
                </c:pt>
                <c:pt idx="287">
                  <c:v>44849</c:v>
                </c:pt>
                <c:pt idx="288">
                  <c:v>44850</c:v>
                </c:pt>
                <c:pt idx="289">
                  <c:v>44851</c:v>
                </c:pt>
                <c:pt idx="290">
                  <c:v>44852</c:v>
                </c:pt>
                <c:pt idx="291">
                  <c:v>44853</c:v>
                </c:pt>
                <c:pt idx="292">
                  <c:v>44854</c:v>
                </c:pt>
                <c:pt idx="293">
                  <c:v>44855</c:v>
                </c:pt>
                <c:pt idx="294">
                  <c:v>44856</c:v>
                </c:pt>
                <c:pt idx="295">
                  <c:v>44857</c:v>
                </c:pt>
                <c:pt idx="296">
                  <c:v>44858</c:v>
                </c:pt>
                <c:pt idx="297">
                  <c:v>44859</c:v>
                </c:pt>
                <c:pt idx="298">
                  <c:v>44860</c:v>
                </c:pt>
                <c:pt idx="299">
                  <c:v>44861</c:v>
                </c:pt>
                <c:pt idx="300">
                  <c:v>44862</c:v>
                </c:pt>
                <c:pt idx="301">
                  <c:v>44863</c:v>
                </c:pt>
                <c:pt idx="302">
                  <c:v>44864</c:v>
                </c:pt>
                <c:pt idx="303">
                  <c:v>44865</c:v>
                </c:pt>
                <c:pt idx="304">
                  <c:v>44866</c:v>
                </c:pt>
                <c:pt idx="305">
                  <c:v>44867</c:v>
                </c:pt>
                <c:pt idx="306">
                  <c:v>44868</c:v>
                </c:pt>
                <c:pt idx="307">
                  <c:v>44869</c:v>
                </c:pt>
                <c:pt idx="308">
                  <c:v>44870</c:v>
                </c:pt>
                <c:pt idx="309">
                  <c:v>44871</c:v>
                </c:pt>
                <c:pt idx="310">
                  <c:v>44872</c:v>
                </c:pt>
                <c:pt idx="311">
                  <c:v>44873</c:v>
                </c:pt>
                <c:pt idx="312">
                  <c:v>44874</c:v>
                </c:pt>
                <c:pt idx="313">
                  <c:v>44875</c:v>
                </c:pt>
                <c:pt idx="314">
                  <c:v>44876</c:v>
                </c:pt>
                <c:pt idx="315">
                  <c:v>44877</c:v>
                </c:pt>
                <c:pt idx="316">
                  <c:v>44878</c:v>
                </c:pt>
                <c:pt idx="317">
                  <c:v>44879</c:v>
                </c:pt>
                <c:pt idx="318">
                  <c:v>44880</c:v>
                </c:pt>
                <c:pt idx="319">
                  <c:v>44881</c:v>
                </c:pt>
                <c:pt idx="320">
                  <c:v>44882</c:v>
                </c:pt>
                <c:pt idx="321">
                  <c:v>44883</c:v>
                </c:pt>
                <c:pt idx="322">
                  <c:v>44884</c:v>
                </c:pt>
                <c:pt idx="323">
                  <c:v>44885</c:v>
                </c:pt>
                <c:pt idx="324">
                  <c:v>44886</c:v>
                </c:pt>
                <c:pt idx="325">
                  <c:v>44887</c:v>
                </c:pt>
                <c:pt idx="326">
                  <c:v>44888</c:v>
                </c:pt>
                <c:pt idx="327">
                  <c:v>44889</c:v>
                </c:pt>
                <c:pt idx="328">
                  <c:v>44890</c:v>
                </c:pt>
                <c:pt idx="329">
                  <c:v>44891</c:v>
                </c:pt>
                <c:pt idx="330">
                  <c:v>44892</c:v>
                </c:pt>
                <c:pt idx="331">
                  <c:v>44893</c:v>
                </c:pt>
                <c:pt idx="332">
                  <c:v>44894</c:v>
                </c:pt>
                <c:pt idx="333">
                  <c:v>44895</c:v>
                </c:pt>
                <c:pt idx="334">
                  <c:v>44896</c:v>
                </c:pt>
                <c:pt idx="335">
                  <c:v>44897</c:v>
                </c:pt>
                <c:pt idx="336">
                  <c:v>44898</c:v>
                </c:pt>
                <c:pt idx="337">
                  <c:v>44899</c:v>
                </c:pt>
                <c:pt idx="338">
                  <c:v>44900</c:v>
                </c:pt>
                <c:pt idx="339">
                  <c:v>44901</c:v>
                </c:pt>
                <c:pt idx="340">
                  <c:v>44902</c:v>
                </c:pt>
                <c:pt idx="341">
                  <c:v>44903</c:v>
                </c:pt>
                <c:pt idx="342">
                  <c:v>44904</c:v>
                </c:pt>
                <c:pt idx="343">
                  <c:v>44905</c:v>
                </c:pt>
                <c:pt idx="344">
                  <c:v>44906</c:v>
                </c:pt>
                <c:pt idx="345">
                  <c:v>44907</c:v>
                </c:pt>
                <c:pt idx="346">
                  <c:v>44908</c:v>
                </c:pt>
              </c:numCache>
            </c:numRef>
          </c:cat>
          <c:val>
            <c:numRef>
              <c:f>[1]画图1!$AF$2:$AF$348</c:f>
              <c:numCache>
                <c:formatCode>General</c:formatCode>
                <c:ptCount val="347"/>
                <c:pt idx="219">
                  <c:v>22</c:v>
                </c:pt>
                <c:pt idx="220">
                  <c:v>27</c:v>
                </c:pt>
                <c:pt idx="221">
                  <c:v>68</c:v>
                </c:pt>
                <c:pt idx="222">
                  <c:v>27</c:v>
                </c:pt>
                <c:pt idx="223">
                  <c:v>32</c:v>
                </c:pt>
                <c:pt idx="224">
                  <c:v>502</c:v>
                </c:pt>
                <c:pt idx="225">
                  <c:v>568</c:v>
                </c:pt>
                <c:pt idx="226">
                  <c:v>655</c:v>
                </c:pt>
                <c:pt idx="227">
                  <c:v>681</c:v>
                </c:pt>
                <c:pt idx="228">
                  <c:v>887</c:v>
                </c:pt>
                <c:pt idx="229">
                  <c:v>677</c:v>
                </c:pt>
                <c:pt idx="230">
                  <c:v>521</c:v>
                </c:pt>
                <c:pt idx="231">
                  <c:v>582</c:v>
                </c:pt>
                <c:pt idx="232">
                  <c:v>546</c:v>
                </c:pt>
                <c:pt idx="233">
                  <c:v>540</c:v>
                </c:pt>
                <c:pt idx="234">
                  <c:v>565</c:v>
                </c:pt>
                <c:pt idx="235">
                  <c:v>558</c:v>
                </c:pt>
                <c:pt idx="236">
                  <c:v>503</c:v>
                </c:pt>
                <c:pt idx="237">
                  <c:v>441</c:v>
                </c:pt>
                <c:pt idx="238">
                  <c:v>498</c:v>
                </c:pt>
                <c:pt idx="239">
                  <c:v>593</c:v>
                </c:pt>
                <c:pt idx="240">
                  <c:v>690</c:v>
                </c:pt>
                <c:pt idx="241">
                  <c:v>715</c:v>
                </c:pt>
                <c:pt idx="242">
                  <c:v>672</c:v>
                </c:pt>
                <c:pt idx="243">
                  <c:v>619</c:v>
                </c:pt>
                <c:pt idx="244">
                  <c:v>554</c:v>
                </c:pt>
                <c:pt idx="245">
                  <c:v>550</c:v>
                </c:pt>
                <c:pt idx="246">
                  <c:v>515</c:v>
                </c:pt>
                <c:pt idx="247">
                  <c:v>504</c:v>
                </c:pt>
                <c:pt idx="248">
                  <c:v>463</c:v>
                </c:pt>
                <c:pt idx="249">
                  <c:v>403</c:v>
                </c:pt>
                <c:pt idx="250">
                  <c:v>365</c:v>
                </c:pt>
                <c:pt idx="251">
                  <c:v>322</c:v>
                </c:pt>
                <c:pt idx="252">
                  <c:v>267</c:v>
                </c:pt>
                <c:pt idx="253">
                  <c:v>226</c:v>
                </c:pt>
                <c:pt idx="254">
                  <c:v>208</c:v>
                </c:pt>
                <c:pt idx="255">
                  <c:v>137</c:v>
                </c:pt>
                <c:pt idx="256">
                  <c:v>109</c:v>
                </c:pt>
                <c:pt idx="257">
                  <c:v>118</c:v>
                </c:pt>
                <c:pt idx="258">
                  <c:v>65</c:v>
                </c:pt>
                <c:pt idx="259">
                  <c:v>45</c:v>
                </c:pt>
                <c:pt idx="260">
                  <c:v>198</c:v>
                </c:pt>
                <c:pt idx="261">
                  <c:v>176</c:v>
                </c:pt>
                <c:pt idx="262">
                  <c:v>168</c:v>
                </c:pt>
                <c:pt idx="263">
                  <c:v>156</c:v>
                </c:pt>
                <c:pt idx="264">
                  <c:v>140</c:v>
                </c:pt>
                <c:pt idx="265">
                  <c:v>122</c:v>
                </c:pt>
                <c:pt idx="266">
                  <c:v>111</c:v>
                </c:pt>
                <c:pt idx="267">
                  <c:v>98</c:v>
                </c:pt>
                <c:pt idx="268">
                  <c:v>94</c:v>
                </c:pt>
                <c:pt idx="269">
                  <c:v>145</c:v>
                </c:pt>
                <c:pt idx="270">
                  <c:v>90</c:v>
                </c:pt>
                <c:pt idx="271">
                  <c:v>72</c:v>
                </c:pt>
                <c:pt idx="272">
                  <c:v>64</c:v>
                </c:pt>
                <c:pt idx="273">
                  <c:v>54</c:v>
                </c:pt>
                <c:pt idx="274">
                  <c:v>49</c:v>
                </c:pt>
                <c:pt idx="275">
                  <c:v>53</c:v>
                </c:pt>
                <c:pt idx="276">
                  <c:v>42</c:v>
                </c:pt>
                <c:pt idx="277">
                  <c:v>40</c:v>
                </c:pt>
                <c:pt idx="278">
                  <c:v>35</c:v>
                </c:pt>
                <c:pt idx="279">
                  <c:v>31</c:v>
                </c:pt>
                <c:pt idx="280">
                  <c:v>33</c:v>
                </c:pt>
                <c:pt idx="281">
                  <c:v>28</c:v>
                </c:pt>
                <c:pt idx="282">
                  <c:v>25</c:v>
                </c:pt>
                <c:pt idx="283">
                  <c:v>24</c:v>
                </c:pt>
                <c:pt idx="284">
                  <c:v>19</c:v>
                </c:pt>
                <c:pt idx="285">
                  <c:v>8</c:v>
                </c:pt>
                <c:pt idx="286">
                  <c:v>10</c:v>
                </c:pt>
                <c:pt idx="287">
                  <c:v>7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3</c:v>
                </c:pt>
                <c:pt idx="292">
                  <c:v>4</c:v>
                </c:pt>
                <c:pt idx="293">
                  <c:v>6</c:v>
                </c:pt>
                <c:pt idx="294">
                  <c:v>5</c:v>
                </c:pt>
                <c:pt idx="295">
                  <c:v>5</c:v>
                </c:pt>
                <c:pt idx="296">
                  <c:v>6</c:v>
                </c:pt>
                <c:pt idx="297">
                  <c:v>8</c:v>
                </c:pt>
                <c:pt idx="298">
                  <c:v>8</c:v>
                </c:pt>
                <c:pt idx="299">
                  <c:v>6</c:v>
                </c:pt>
                <c:pt idx="300">
                  <c:v>3</c:v>
                </c:pt>
                <c:pt idx="301">
                  <c:v>2</c:v>
                </c:pt>
                <c:pt idx="302">
                  <c:v>4</c:v>
                </c:pt>
                <c:pt idx="303">
                  <c:v>10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3</c:v>
                </c:pt>
                <c:pt idx="309">
                  <c:v>7</c:v>
                </c:pt>
                <c:pt idx="310">
                  <c:v>5</c:v>
                </c:pt>
                <c:pt idx="311">
                  <c:v>8</c:v>
                </c:pt>
                <c:pt idx="312">
                  <c:v>11</c:v>
                </c:pt>
                <c:pt idx="313">
                  <c:v>13</c:v>
                </c:pt>
                <c:pt idx="314">
                  <c:v>10</c:v>
                </c:pt>
                <c:pt idx="315">
                  <c:v>24</c:v>
                </c:pt>
                <c:pt idx="316">
                  <c:v>17</c:v>
                </c:pt>
                <c:pt idx="317">
                  <c:v>21</c:v>
                </c:pt>
                <c:pt idx="318">
                  <c:v>14</c:v>
                </c:pt>
                <c:pt idx="319">
                  <c:v>11</c:v>
                </c:pt>
                <c:pt idx="320">
                  <c:v>16</c:v>
                </c:pt>
                <c:pt idx="321">
                  <c:v>14</c:v>
                </c:pt>
                <c:pt idx="322">
                  <c:v>11</c:v>
                </c:pt>
                <c:pt idx="323">
                  <c:v>15</c:v>
                </c:pt>
                <c:pt idx="324">
                  <c:v>17</c:v>
                </c:pt>
                <c:pt idx="325">
                  <c:v>10</c:v>
                </c:pt>
                <c:pt idx="326">
                  <c:v>11</c:v>
                </c:pt>
                <c:pt idx="327">
                  <c:v>14</c:v>
                </c:pt>
                <c:pt idx="328">
                  <c:v>16</c:v>
                </c:pt>
                <c:pt idx="329">
                  <c:v>14</c:v>
                </c:pt>
                <c:pt idx="330">
                  <c:v>18</c:v>
                </c:pt>
                <c:pt idx="331">
                  <c:v>18</c:v>
                </c:pt>
                <c:pt idx="332">
                  <c:v>14</c:v>
                </c:pt>
                <c:pt idx="333">
                  <c:v>12</c:v>
                </c:pt>
                <c:pt idx="334">
                  <c:v>17</c:v>
                </c:pt>
                <c:pt idx="335">
                  <c:v>20</c:v>
                </c:pt>
                <c:pt idx="336">
                  <c:v>15</c:v>
                </c:pt>
                <c:pt idx="337">
                  <c:v>27</c:v>
                </c:pt>
                <c:pt idx="338">
                  <c:v>35</c:v>
                </c:pt>
                <c:pt idx="339">
                  <c:v>34</c:v>
                </c:pt>
                <c:pt idx="340">
                  <c:v>20</c:v>
                </c:pt>
                <c:pt idx="341">
                  <c:v>14</c:v>
                </c:pt>
                <c:pt idx="342">
                  <c:v>14</c:v>
                </c:pt>
                <c:pt idx="343">
                  <c:v>16</c:v>
                </c:pt>
                <c:pt idx="344">
                  <c:v>10</c:v>
                </c:pt>
                <c:pt idx="34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083-449C-B8A0-4CAED7209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370447"/>
        <c:axId val="867786959"/>
      </c:lineChart>
      <c:catAx>
        <c:axId val="876370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7786959"/>
        <c:crosses val="autoZero"/>
        <c:auto val="1"/>
        <c:lblAlgn val="ctr"/>
        <c:lblOffset val="100"/>
        <c:noMultiLvlLbl val="0"/>
      </c:catAx>
      <c:valAx>
        <c:axId val="86778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637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8ad5ec-80ed-4da5-8509-0083267438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[1]画图2!$B$1</c:f>
              <c:strCache>
                <c:ptCount val="1"/>
                <c:pt idx="0">
                  <c:v>上海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[1]画图2!$A$2:$A$119</c:f>
              <c:numCache>
                <c:formatCode>General</c:formatCode>
                <c:ptCount val="11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  <c:pt idx="32">
                  <c:v>44653</c:v>
                </c:pt>
                <c:pt idx="33">
                  <c:v>44654</c:v>
                </c:pt>
                <c:pt idx="34">
                  <c:v>44655</c:v>
                </c:pt>
                <c:pt idx="35">
                  <c:v>44656</c:v>
                </c:pt>
                <c:pt idx="36">
                  <c:v>44657</c:v>
                </c:pt>
                <c:pt idx="37">
                  <c:v>44658</c:v>
                </c:pt>
                <c:pt idx="38">
                  <c:v>44659</c:v>
                </c:pt>
                <c:pt idx="39">
                  <c:v>44660</c:v>
                </c:pt>
                <c:pt idx="40">
                  <c:v>44661</c:v>
                </c:pt>
                <c:pt idx="41">
                  <c:v>44662</c:v>
                </c:pt>
                <c:pt idx="42">
                  <c:v>44663</c:v>
                </c:pt>
                <c:pt idx="43">
                  <c:v>44664</c:v>
                </c:pt>
                <c:pt idx="44">
                  <c:v>44665</c:v>
                </c:pt>
                <c:pt idx="45">
                  <c:v>44666</c:v>
                </c:pt>
                <c:pt idx="46">
                  <c:v>44667</c:v>
                </c:pt>
                <c:pt idx="47">
                  <c:v>44668</c:v>
                </c:pt>
                <c:pt idx="48">
                  <c:v>44669</c:v>
                </c:pt>
                <c:pt idx="49">
                  <c:v>44670</c:v>
                </c:pt>
                <c:pt idx="50">
                  <c:v>44671</c:v>
                </c:pt>
                <c:pt idx="51">
                  <c:v>44672</c:v>
                </c:pt>
                <c:pt idx="52">
                  <c:v>44673</c:v>
                </c:pt>
                <c:pt idx="53">
                  <c:v>44674</c:v>
                </c:pt>
                <c:pt idx="54">
                  <c:v>44675</c:v>
                </c:pt>
                <c:pt idx="55">
                  <c:v>44676</c:v>
                </c:pt>
                <c:pt idx="56">
                  <c:v>44677</c:v>
                </c:pt>
                <c:pt idx="57">
                  <c:v>44678</c:v>
                </c:pt>
                <c:pt idx="58">
                  <c:v>44679</c:v>
                </c:pt>
                <c:pt idx="59">
                  <c:v>44680</c:v>
                </c:pt>
                <c:pt idx="60">
                  <c:v>44681</c:v>
                </c:pt>
                <c:pt idx="61">
                  <c:v>44682</c:v>
                </c:pt>
                <c:pt idx="62">
                  <c:v>44683</c:v>
                </c:pt>
                <c:pt idx="63">
                  <c:v>44684</c:v>
                </c:pt>
                <c:pt idx="64">
                  <c:v>44685</c:v>
                </c:pt>
                <c:pt idx="65">
                  <c:v>44686</c:v>
                </c:pt>
                <c:pt idx="66">
                  <c:v>44687</c:v>
                </c:pt>
                <c:pt idx="67">
                  <c:v>44688</c:v>
                </c:pt>
                <c:pt idx="68">
                  <c:v>44689</c:v>
                </c:pt>
                <c:pt idx="69">
                  <c:v>44690</c:v>
                </c:pt>
                <c:pt idx="70">
                  <c:v>44691</c:v>
                </c:pt>
                <c:pt idx="71">
                  <c:v>44692</c:v>
                </c:pt>
                <c:pt idx="72">
                  <c:v>44693</c:v>
                </c:pt>
                <c:pt idx="73">
                  <c:v>44694</c:v>
                </c:pt>
                <c:pt idx="74">
                  <c:v>44695</c:v>
                </c:pt>
                <c:pt idx="75">
                  <c:v>44696</c:v>
                </c:pt>
                <c:pt idx="76">
                  <c:v>44697</c:v>
                </c:pt>
                <c:pt idx="77">
                  <c:v>44698</c:v>
                </c:pt>
                <c:pt idx="78">
                  <c:v>44699</c:v>
                </c:pt>
                <c:pt idx="79">
                  <c:v>44700</c:v>
                </c:pt>
                <c:pt idx="80">
                  <c:v>44701</c:v>
                </c:pt>
                <c:pt idx="81">
                  <c:v>44702</c:v>
                </c:pt>
                <c:pt idx="82">
                  <c:v>44703</c:v>
                </c:pt>
                <c:pt idx="83">
                  <c:v>44704</c:v>
                </c:pt>
                <c:pt idx="84">
                  <c:v>44705</c:v>
                </c:pt>
                <c:pt idx="85">
                  <c:v>44706</c:v>
                </c:pt>
                <c:pt idx="86">
                  <c:v>44707</c:v>
                </c:pt>
                <c:pt idx="87">
                  <c:v>44708</c:v>
                </c:pt>
                <c:pt idx="88">
                  <c:v>44709</c:v>
                </c:pt>
                <c:pt idx="89">
                  <c:v>44710</c:v>
                </c:pt>
                <c:pt idx="90">
                  <c:v>44711</c:v>
                </c:pt>
                <c:pt idx="91">
                  <c:v>44712</c:v>
                </c:pt>
                <c:pt idx="92">
                  <c:v>44713</c:v>
                </c:pt>
                <c:pt idx="93">
                  <c:v>44714</c:v>
                </c:pt>
                <c:pt idx="94">
                  <c:v>44715</c:v>
                </c:pt>
                <c:pt idx="95">
                  <c:v>44716</c:v>
                </c:pt>
                <c:pt idx="96">
                  <c:v>44717</c:v>
                </c:pt>
                <c:pt idx="97">
                  <c:v>44718</c:v>
                </c:pt>
                <c:pt idx="98">
                  <c:v>44719</c:v>
                </c:pt>
                <c:pt idx="99">
                  <c:v>44720</c:v>
                </c:pt>
                <c:pt idx="100">
                  <c:v>44721</c:v>
                </c:pt>
                <c:pt idx="101">
                  <c:v>44722</c:v>
                </c:pt>
                <c:pt idx="102">
                  <c:v>44723</c:v>
                </c:pt>
                <c:pt idx="103">
                  <c:v>44724</c:v>
                </c:pt>
                <c:pt idx="104">
                  <c:v>44725</c:v>
                </c:pt>
                <c:pt idx="105">
                  <c:v>44726</c:v>
                </c:pt>
                <c:pt idx="106">
                  <c:v>44727</c:v>
                </c:pt>
                <c:pt idx="107">
                  <c:v>44728</c:v>
                </c:pt>
                <c:pt idx="108">
                  <c:v>44729</c:v>
                </c:pt>
                <c:pt idx="109">
                  <c:v>44730</c:v>
                </c:pt>
                <c:pt idx="110">
                  <c:v>44731</c:v>
                </c:pt>
                <c:pt idx="111">
                  <c:v>44732</c:v>
                </c:pt>
                <c:pt idx="112">
                  <c:v>44733</c:v>
                </c:pt>
                <c:pt idx="113">
                  <c:v>44734</c:v>
                </c:pt>
                <c:pt idx="114">
                  <c:v>44735</c:v>
                </c:pt>
                <c:pt idx="115">
                  <c:v>44736</c:v>
                </c:pt>
                <c:pt idx="116">
                  <c:v>44737</c:v>
                </c:pt>
                <c:pt idx="117">
                  <c:v>44738</c:v>
                </c:pt>
              </c:numCache>
            </c:numRef>
          </c:cat>
          <c:val>
            <c:numRef>
              <c:f>[1]画图2!$B$2:$B$119</c:f>
              <c:numCache>
                <c:formatCode>General</c:formatCode>
                <c:ptCount val="118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19</c:v>
                </c:pt>
                <c:pt idx="4">
                  <c:v>28</c:v>
                </c:pt>
                <c:pt idx="5">
                  <c:v>48</c:v>
                </c:pt>
                <c:pt idx="6">
                  <c:v>55</c:v>
                </c:pt>
                <c:pt idx="7">
                  <c:v>65</c:v>
                </c:pt>
                <c:pt idx="8">
                  <c:v>80</c:v>
                </c:pt>
                <c:pt idx="9">
                  <c:v>75</c:v>
                </c:pt>
                <c:pt idx="10">
                  <c:v>83</c:v>
                </c:pt>
                <c:pt idx="11">
                  <c:v>65</c:v>
                </c:pt>
                <c:pt idx="12">
                  <c:v>167</c:v>
                </c:pt>
                <c:pt idx="13">
                  <c:v>139</c:v>
                </c:pt>
                <c:pt idx="14">
                  <c:v>202</c:v>
                </c:pt>
                <c:pt idx="15">
                  <c:v>157</c:v>
                </c:pt>
                <c:pt idx="16">
                  <c:v>260</c:v>
                </c:pt>
                <c:pt idx="17">
                  <c:v>374</c:v>
                </c:pt>
                <c:pt idx="18">
                  <c:v>503</c:v>
                </c:pt>
                <c:pt idx="19">
                  <c:v>758</c:v>
                </c:pt>
                <c:pt idx="20">
                  <c:v>895</c:v>
                </c:pt>
                <c:pt idx="21">
                  <c:v>981</c:v>
                </c:pt>
                <c:pt idx="22">
                  <c:v>983</c:v>
                </c:pt>
                <c:pt idx="23">
                  <c:v>1609</c:v>
                </c:pt>
                <c:pt idx="24">
                  <c:v>2264</c:v>
                </c:pt>
                <c:pt idx="25">
                  <c:v>2676</c:v>
                </c:pt>
                <c:pt idx="26">
                  <c:v>3500</c:v>
                </c:pt>
                <c:pt idx="27">
                  <c:v>4456</c:v>
                </c:pt>
                <c:pt idx="28">
                  <c:v>5964</c:v>
                </c:pt>
                <c:pt idx="29">
                  <c:v>5637</c:v>
                </c:pt>
                <c:pt idx="30">
                  <c:v>4482</c:v>
                </c:pt>
                <c:pt idx="31">
                  <c:v>6309</c:v>
                </c:pt>
                <c:pt idx="32">
                  <c:v>8153</c:v>
                </c:pt>
                <c:pt idx="33">
                  <c:v>8935</c:v>
                </c:pt>
                <c:pt idx="34">
                  <c:v>13350</c:v>
                </c:pt>
                <c:pt idx="35">
                  <c:v>17037</c:v>
                </c:pt>
                <c:pt idx="36">
                  <c:v>19967</c:v>
                </c:pt>
                <c:pt idx="37">
                  <c:v>20899</c:v>
                </c:pt>
                <c:pt idx="38">
                  <c:v>23204</c:v>
                </c:pt>
                <c:pt idx="39">
                  <c:v>24752</c:v>
                </c:pt>
                <c:pt idx="40">
                  <c:v>26040</c:v>
                </c:pt>
                <c:pt idx="41">
                  <c:v>23069</c:v>
                </c:pt>
                <c:pt idx="42">
                  <c:v>26307</c:v>
                </c:pt>
                <c:pt idx="43">
                  <c:v>27605</c:v>
                </c:pt>
                <c:pt idx="44">
                  <c:v>22765</c:v>
                </c:pt>
                <c:pt idx="45">
                  <c:v>22591</c:v>
                </c:pt>
                <c:pt idx="46">
                  <c:v>23643</c:v>
                </c:pt>
                <c:pt idx="47">
                  <c:v>21395</c:v>
                </c:pt>
                <c:pt idx="48">
                  <c:v>19442</c:v>
                </c:pt>
                <c:pt idx="49">
                  <c:v>18368</c:v>
                </c:pt>
                <c:pt idx="50">
                  <c:v>18036</c:v>
                </c:pt>
                <c:pt idx="51">
                  <c:v>17486</c:v>
                </c:pt>
                <c:pt idx="52">
                  <c:v>22250</c:v>
                </c:pt>
                <c:pt idx="53">
                  <c:v>20517</c:v>
                </c:pt>
                <c:pt idx="54">
                  <c:v>18609</c:v>
                </c:pt>
                <c:pt idx="55">
                  <c:v>16012</c:v>
                </c:pt>
                <c:pt idx="56">
                  <c:v>12309</c:v>
                </c:pt>
                <c:pt idx="57">
                  <c:v>9764</c:v>
                </c:pt>
                <c:pt idx="58">
                  <c:v>9970</c:v>
                </c:pt>
                <c:pt idx="59">
                  <c:v>9196</c:v>
                </c:pt>
                <c:pt idx="60">
                  <c:v>7189</c:v>
                </c:pt>
                <c:pt idx="61">
                  <c:v>6804</c:v>
                </c:pt>
                <c:pt idx="62">
                  <c:v>5514</c:v>
                </c:pt>
                <c:pt idx="63">
                  <c:v>4831</c:v>
                </c:pt>
                <c:pt idx="64">
                  <c:v>4466</c:v>
                </c:pt>
                <c:pt idx="65">
                  <c:v>4088</c:v>
                </c:pt>
                <c:pt idx="66">
                  <c:v>4039</c:v>
                </c:pt>
                <c:pt idx="67">
                  <c:v>3840</c:v>
                </c:pt>
                <c:pt idx="68">
                  <c:v>3717</c:v>
                </c:pt>
                <c:pt idx="69">
                  <c:v>2858</c:v>
                </c:pt>
                <c:pt idx="70">
                  <c:v>1289</c:v>
                </c:pt>
                <c:pt idx="71">
                  <c:v>1343</c:v>
                </c:pt>
                <c:pt idx="72">
                  <c:v>1929</c:v>
                </c:pt>
                <c:pt idx="73">
                  <c:v>1541</c:v>
                </c:pt>
                <c:pt idx="74">
                  <c:v>1258</c:v>
                </c:pt>
                <c:pt idx="75">
                  <c:v>896</c:v>
                </c:pt>
                <c:pt idx="76">
                  <c:v>777</c:v>
                </c:pt>
                <c:pt idx="77">
                  <c:v>799</c:v>
                </c:pt>
                <c:pt idx="78">
                  <c:v>671</c:v>
                </c:pt>
                <c:pt idx="79">
                  <c:v>787</c:v>
                </c:pt>
                <c:pt idx="80">
                  <c:v>819</c:v>
                </c:pt>
                <c:pt idx="81">
                  <c:v>593</c:v>
                </c:pt>
                <c:pt idx="82">
                  <c:v>528</c:v>
                </c:pt>
                <c:pt idx="83">
                  <c:v>441</c:v>
                </c:pt>
                <c:pt idx="84">
                  <c:v>355</c:v>
                </c:pt>
                <c:pt idx="85">
                  <c:v>307</c:v>
                </c:pt>
                <c:pt idx="86">
                  <c:v>231</c:v>
                </c:pt>
                <c:pt idx="87">
                  <c:v>152</c:v>
                </c:pt>
                <c:pt idx="88">
                  <c:v>104</c:v>
                </c:pt>
                <c:pt idx="89">
                  <c:v>65</c:v>
                </c:pt>
                <c:pt idx="90">
                  <c:v>29</c:v>
                </c:pt>
                <c:pt idx="91">
                  <c:v>14</c:v>
                </c:pt>
                <c:pt idx="92">
                  <c:v>10</c:v>
                </c:pt>
                <c:pt idx="93">
                  <c:v>14</c:v>
                </c:pt>
                <c:pt idx="94">
                  <c:v>12</c:v>
                </c:pt>
                <c:pt idx="95">
                  <c:v>21</c:v>
                </c:pt>
                <c:pt idx="96">
                  <c:v>8</c:v>
                </c:pt>
                <c:pt idx="97">
                  <c:v>10</c:v>
                </c:pt>
                <c:pt idx="98">
                  <c:v>15</c:v>
                </c:pt>
                <c:pt idx="99">
                  <c:v>9</c:v>
                </c:pt>
                <c:pt idx="100">
                  <c:v>11</c:v>
                </c:pt>
                <c:pt idx="101">
                  <c:v>16</c:v>
                </c:pt>
                <c:pt idx="102">
                  <c:v>29</c:v>
                </c:pt>
                <c:pt idx="103">
                  <c:v>36</c:v>
                </c:pt>
                <c:pt idx="104">
                  <c:v>17</c:v>
                </c:pt>
                <c:pt idx="105">
                  <c:v>14</c:v>
                </c:pt>
                <c:pt idx="106">
                  <c:v>16</c:v>
                </c:pt>
                <c:pt idx="107">
                  <c:v>4</c:v>
                </c:pt>
                <c:pt idx="108">
                  <c:v>7</c:v>
                </c:pt>
                <c:pt idx="109">
                  <c:v>9</c:v>
                </c:pt>
                <c:pt idx="110">
                  <c:v>13</c:v>
                </c:pt>
                <c:pt idx="111">
                  <c:v>9</c:v>
                </c:pt>
                <c:pt idx="112">
                  <c:v>8</c:v>
                </c:pt>
                <c:pt idx="113">
                  <c:v>9</c:v>
                </c:pt>
                <c:pt idx="114">
                  <c:v>3</c:v>
                </c:pt>
                <c:pt idx="1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92-4982-9A5F-6036201E2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1478879"/>
        <c:axId val="870385103"/>
      </c:lineChart>
      <c:catAx>
        <c:axId val="881478879"/>
        <c:scaling>
          <c:orientation val="minMax"/>
          <c:max val="118.5"/>
          <c:min val="0.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385103"/>
        <c:crosses val="autoZero"/>
        <c:auto val="1"/>
        <c:lblAlgn val="ctr"/>
        <c:lblOffset val="100"/>
        <c:noMultiLvlLbl val="0"/>
      </c:catAx>
      <c:valAx>
        <c:axId val="87038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147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b20248-4cfa-49e3-86d4-c75d6752ad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[1]画图2!$E$1</c:f>
              <c:strCache>
                <c:ptCount val="1"/>
                <c:pt idx="0">
                  <c:v>吉林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[1]画图2!$D$2:$D$117</c:f>
              <c:numCache>
                <c:formatCode>General</c:formatCode>
                <c:ptCount val="116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  <c:pt idx="32">
                  <c:v>44653</c:v>
                </c:pt>
                <c:pt idx="33">
                  <c:v>44654</c:v>
                </c:pt>
                <c:pt idx="34">
                  <c:v>44655</c:v>
                </c:pt>
                <c:pt idx="35">
                  <c:v>44656</c:v>
                </c:pt>
                <c:pt idx="36">
                  <c:v>44657</c:v>
                </c:pt>
                <c:pt idx="37">
                  <c:v>44658</c:v>
                </c:pt>
                <c:pt idx="38">
                  <c:v>44659</c:v>
                </c:pt>
                <c:pt idx="39">
                  <c:v>44660</c:v>
                </c:pt>
                <c:pt idx="40">
                  <c:v>44661</c:v>
                </c:pt>
                <c:pt idx="41">
                  <c:v>44662</c:v>
                </c:pt>
                <c:pt idx="42">
                  <c:v>44663</c:v>
                </c:pt>
                <c:pt idx="43">
                  <c:v>44664</c:v>
                </c:pt>
                <c:pt idx="44">
                  <c:v>44665</c:v>
                </c:pt>
                <c:pt idx="45">
                  <c:v>44666</c:v>
                </c:pt>
                <c:pt idx="46">
                  <c:v>44667</c:v>
                </c:pt>
                <c:pt idx="47">
                  <c:v>44668</c:v>
                </c:pt>
                <c:pt idx="48">
                  <c:v>44669</c:v>
                </c:pt>
                <c:pt idx="49">
                  <c:v>44670</c:v>
                </c:pt>
                <c:pt idx="50">
                  <c:v>44671</c:v>
                </c:pt>
                <c:pt idx="51">
                  <c:v>44672</c:v>
                </c:pt>
                <c:pt idx="52">
                  <c:v>44673</c:v>
                </c:pt>
                <c:pt idx="53">
                  <c:v>44674</c:v>
                </c:pt>
                <c:pt idx="54">
                  <c:v>44675</c:v>
                </c:pt>
                <c:pt idx="55">
                  <c:v>44676</c:v>
                </c:pt>
                <c:pt idx="56">
                  <c:v>44677</c:v>
                </c:pt>
                <c:pt idx="57">
                  <c:v>44678</c:v>
                </c:pt>
                <c:pt idx="58">
                  <c:v>44679</c:v>
                </c:pt>
                <c:pt idx="59">
                  <c:v>44680</c:v>
                </c:pt>
                <c:pt idx="60">
                  <c:v>44681</c:v>
                </c:pt>
                <c:pt idx="61">
                  <c:v>44682</c:v>
                </c:pt>
                <c:pt idx="62">
                  <c:v>44683</c:v>
                </c:pt>
                <c:pt idx="63">
                  <c:v>44684</c:v>
                </c:pt>
                <c:pt idx="64">
                  <c:v>44685</c:v>
                </c:pt>
                <c:pt idx="65">
                  <c:v>44686</c:v>
                </c:pt>
                <c:pt idx="66">
                  <c:v>44687</c:v>
                </c:pt>
                <c:pt idx="67">
                  <c:v>44688</c:v>
                </c:pt>
                <c:pt idx="68">
                  <c:v>44689</c:v>
                </c:pt>
                <c:pt idx="69">
                  <c:v>44690</c:v>
                </c:pt>
                <c:pt idx="70">
                  <c:v>44691</c:v>
                </c:pt>
                <c:pt idx="71">
                  <c:v>44692</c:v>
                </c:pt>
                <c:pt idx="72">
                  <c:v>44693</c:v>
                </c:pt>
                <c:pt idx="73">
                  <c:v>44694</c:v>
                </c:pt>
                <c:pt idx="74">
                  <c:v>44695</c:v>
                </c:pt>
                <c:pt idx="75">
                  <c:v>44696</c:v>
                </c:pt>
                <c:pt idx="76">
                  <c:v>44697</c:v>
                </c:pt>
                <c:pt idx="77">
                  <c:v>44698</c:v>
                </c:pt>
                <c:pt idx="78">
                  <c:v>44699</c:v>
                </c:pt>
                <c:pt idx="79">
                  <c:v>44700</c:v>
                </c:pt>
                <c:pt idx="80">
                  <c:v>44701</c:v>
                </c:pt>
                <c:pt idx="81">
                  <c:v>44702</c:v>
                </c:pt>
                <c:pt idx="82">
                  <c:v>44703</c:v>
                </c:pt>
                <c:pt idx="83">
                  <c:v>44704</c:v>
                </c:pt>
                <c:pt idx="84">
                  <c:v>44705</c:v>
                </c:pt>
                <c:pt idx="85">
                  <c:v>44706</c:v>
                </c:pt>
                <c:pt idx="86">
                  <c:v>44707</c:v>
                </c:pt>
                <c:pt idx="87">
                  <c:v>44708</c:v>
                </c:pt>
                <c:pt idx="88">
                  <c:v>44709</c:v>
                </c:pt>
                <c:pt idx="89">
                  <c:v>44710</c:v>
                </c:pt>
                <c:pt idx="90">
                  <c:v>44711</c:v>
                </c:pt>
                <c:pt idx="91">
                  <c:v>44712</c:v>
                </c:pt>
                <c:pt idx="92">
                  <c:v>44713</c:v>
                </c:pt>
                <c:pt idx="93">
                  <c:v>44714</c:v>
                </c:pt>
                <c:pt idx="94">
                  <c:v>44715</c:v>
                </c:pt>
                <c:pt idx="95">
                  <c:v>44716</c:v>
                </c:pt>
                <c:pt idx="96">
                  <c:v>44717</c:v>
                </c:pt>
                <c:pt idx="97">
                  <c:v>44718</c:v>
                </c:pt>
                <c:pt idx="98">
                  <c:v>44719</c:v>
                </c:pt>
                <c:pt idx="99">
                  <c:v>44720</c:v>
                </c:pt>
                <c:pt idx="100">
                  <c:v>44721</c:v>
                </c:pt>
                <c:pt idx="101">
                  <c:v>44722</c:v>
                </c:pt>
                <c:pt idx="102">
                  <c:v>44723</c:v>
                </c:pt>
                <c:pt idx="103">
                  <c:v>44724</c:v>
                </c:pt>
                <c:pt idx="104">
                  <c:v>44725</c:v>
                </c:pt>
                <c:pt idx="105">
                  <c:v>44726</c:v>
                </c:pt>
                <c:pt idx="106">
                  <c:v>44727</c:v>
                </c:pt>
                <c:pt idx="107">
                  <c:v>44728</c:v>
                </c:pt>
                <c:pt idx="108">
                  <c:v>44729</c:v>
                </c:pt>
                <c:pt idx="109">
                  <c:v>44730</c:v>
                </c:pt>
                <c:pt idx="110">
                  <c:v>44731</c:v>
                </c:pt>
                <c:pt idx="111">
                  <c:v>44732</c:v>
                </c:pt>
                <c:pt idx="112">
                  <c:v>44733</c:v>
                </c:pt>
                <c:pt idx="113">
                  <c:v>44734</c:v>
                </c:pt>
                <c:pt idx="114">
                  <c:v>44735</c:v>
                </c:pt>
                <c:pt idx="115">
                  <c:v>44736</c:v>
                </c:pt>
              </c:numCache>
            </c:numRef>
          </c:cat>
          <c:val>
            <c:numRef>
              <c:f>[1]画图2!$E$2:$E$117</c:f>
              <c:numCache>
                <c:formatCode>General</c:formatCode>
                <c:ptCount val="116"/>
                <c:pt idx="0">
                  <c:v>8</c:v>
                </c:pt>
                <c:pt idx="1">
                  <c:v>10</c:v>
                </c:pt>
                <c:pt idx="2">
                  <c:v>16</c:v>
                </c:pt>
                <c:pt idx="3">
                  <c:v>43</c:v>
                </c:pt>
                <c:pt idx="4">
                  <c:v>59</c:v>
                </c:pt>
                <c:pt idx="5">
                  <c:v>64</c:v>
                </c:pt>
                <c:pt idx="6">
                  <c:v>72</c:v>
                </c:pt>
                <c:pt idx="7">
                  <c:v>174</c:v>
                </c:pt>
                <c:pt idx="8">
                  <c:v>343</c:v>
                </c:pt>
                <c:pt idx="9">
                  <c:v>242</c:v>
                </c:pt>
                <c:pt idx="10">
                  <c:v>400</c:v>
                </c:pt>
                <c:pt idx="11">
                  <c:v>2156</c:v>
                </c:pt>
                <c:pt idx="12">
                  <c:v>985</c:v>
                </c:pt>
                <c:pt idx="13">
                  <c:v>4048</c:v>
                </c:pt>
                <c:pt idx="14">
                  <c:v>1832</c:v>
                </c:pt>
                <c:pt idx="15">
                  <c:v>1146</c:v>
                </c:pt>
                <c:pt idx="16">
                  <c:v>2626</c:v>
                </c:pt>
                <c:pt idx="17">
                  <c:v>2203</c:v>
                </c:pt>
                <c:pt idx="18">
                  <c:v>1475</c:v>
                </c:pt>
                <c:pt idx="19">
                  <c:v>2055</c:v>
                </c:pt>
                <c:pt idx="20">
                  <c:v>2432</c:v>
                </c:pt>
                <c:pt idx="21">
                  <c:v>2775</c:v>
                </c:pt>
                <c:pt idx="22">
                  <c:v>2565</c:v>
                </c:pt>
                <c:pt idx="23">
                  <c:v>1919</c:v>
                </c:pt>
                <c:pt idx="24">
                  <c:v>2453</c:v>
                </c:pt>
                <c:pt idx="25">
                  <c:v>1975</c:v>
                </c:pt>
                <c:pt idx="26">
                  <c:v>1792</c:v>
                </c:pt>
                <c:pt idx="27">
                  <c:v>1855</c:v>
                </c:pt>
                <c:pt idx="28">
                  <c:v>2158</c:v>
                </c:pt>
                <c:pt idx="29">
                  <c:v>2155</c:v>
                </c:pt>
                <c:pt idx="30">
                  <c:v>2210</c:v>
                </c:pt>
                <c:pt idx="31">
                  <c:v>2954</c:v>
                </c:pt>
                <c:pt idx="32">
                  <c:v>4427</c:v>
                </c:pt>
                <c:pt idx="33">
                  <c:v>3510</c:v>
                </c:pt>
                <c:pt idx="34">
                  <c:v>2398</c:v>
                </c:pt>
                <c:pt idx="35">
                  <c:v>2706</c:v>
                </c:pt>
                <c:pt idx="36">
                  <c:v>2383</c:v>
                </c:pt>
                <c:pt idx="37">
                  <c:v>2205</c:v>
                </c:pt>
                <c:pt idx="38">
                  <c:v>902</c:v>
                </c:pt>
                <c:pt idx="39">
                  <c:v>907</c:v>
                </c:pt>
                <c:pt idx="40">
                  <c:v>953</c:v>
                </c:pt>
                <c:pt idx="41">
                  <c:v>740</c:v>
                </c:pt>
                <c:pt idx="42">
                  <c:v>988</c:v>
                </c:pt>
                <c:pt idx="43">
                  <c:v>785</c:v>
                </c:pt>
                <c:pt idx="44">
                  <c:v>435</c:v>
                </c:pt>
                <c:pt idx="45">
                  <c:v>575</c:v>
                </c:pt>
                <c:pt idx="46">
                  <c:v>656</c:v>
                </c:pt>
                <c:pt idx="47">
                  <c:v>501</c:v>
                </c:pt>
                <c:pt idx="48">
                  <c:v>446</c:v>
                </c:pt>
                <c:pt idx="49">
                  <c:v>326</c:v>
                </c:pt>
                <c:pt idx="50">
                  <c:v>324</c:v>
                </c:pt>
                <c:pt idx="51">
                  <c:v>282</c:v>
                </c:pt>
                <c:pt idx="52">
                  <c:v>258</c:v>
                </c:pt>
                <c:pt idx="53">
                  <c:v>196</c:v>
                </c:pt>
                <c:pt idx="54">
                  <c:v>147</c:v>
                </c:pt>
                <c:pt idx="55">
                  <c:v>126</c:v>
                </c:pt>
                <c:pt idx="56">
                  <c:v>100</c:v>
                </c:pt>
                <c:pt idx="57">
                  <c:v>127</c:v>
                </c:pt>
                <c:pt idx="58">
                  <c:v>56</c:v>
                </c:pt>
                <c:pt idx="59">
                  <c:v>42</c:v>
                </c:pt>
                <c:pt idx="60">
                  <c:v>31</c:v>
                </c:pt>
                <c:pt idx="61">
                  <c:v>20</c:v>
                </c:pt>
                <c:pt idx="62">
                  <c:v>21</c:v>
                </c:pt>
                <c:pt idx="63">
                  <c:v>40</c:v>
                </c:pt>
                <c:pt idx="64">
                  <c:v>22</c:v>
                </c:pt>
                <c:pt idx="65">
                  <c:v>14</c:v>
                </c:pt>
                <c:pt idx="66">
                  <c:v>23</c:v>
                </c:pt>
                <c:pt idx="67">
                  <c:v>21</c:v>
                </c:pt>
                <c:pt idx="68">
                  <c:v>3</c:v>
                </c:pt>
                <c:pt idx="69">
                  <c:v>6</c:v>
                </c:pt>
                <c:pt idx="70">
                  <c:v>4</c:v>
                </c:pt>
                <c:pt idx="71">
                  <c:v>5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11</c:v>
                </c:pt>
                <c:pt idx="77">
                  <c:v>11</c:v>
                </c:pt>
                <c:pt idx="78">
                  <c:v>19</c:v>
                </c:pt>
                <c:pt idx="79">
                  <c:v>11</c:v>
                </c:pt>
                <c:pt idx="80">
                  <c:v>7</c:v>
                </c:pt>
                <c:pt idx="81">
                  <c:v>10</c:v>
                </c:pt>
                <c:pt idx="82">
                  <c:v>5</c:v>
                </c:pt>
                <c:pt idx="83">
                  <c:v>8</c:v>
                </c:pt>
                <c:pt idx="84">
                  <c:v>7</c:v>
                </c:pt>
                <c:pt idx="85">
                  <c:v>6</c:v>
                </c:pt>
                <c:pt idx="86">
                  <c:v>7</c:v>
                </c:pt>
                <c:pt idx="87">
                  <c:v>11</c:v>
                </c:pt>
                <c:pt idx="88">
                  <c:v>10</c:v>
                </c:pt>
                <c:pt idx="89">
                  <c:v>5</c:v>
                </c:pt>
                <c:pt idx="90">
                  <c:v>8</c:v>
                </c:pt>
                <c:pt idx="91">
                  <c:v>7</c:v>
                </c:pt>
                <c:pt idx="92">
                  <c:v>0</c:v>
                </c:pt>
                <c:pt idx="93">
                  <c:v>5</c:v>
                </c:pt>
                <c:pt idx="94">
                  <c:v>5</c:v>
                </c:pt>
                <c:pt idx="95">
                  <c:v>1</c:v>
                </c:pt>
                <c:pt idx="96">
                  <c:v>2</c:v>
                </c:pt>
                <c:pt idx="97">
                  <c:v>4</c:v>
                </c:pt>
                <c:pt idx="98">
                  <c:v>3</c:v>
                </c:pt>
                <c:pt idx="99">
                  <c:v>5</c:v>
                </c:pt>
                <c:pt idx="100">
                  <c:v>7</c:v>
                </c:pt>
                <c:pt idx="101">
                  <c:v>3</c:v>
                </c:pt>
                <c:pt idx="102">
                  <c:v>1</c:v>
                </c:pt>
                <c:pt idx="103">
                  <c:v>4</c:v>
                </c:pt>
                <c:pt idx="105">
                  <c:v>6</c:v>
                </c:pt>
                <c:pt idx="106">
                  <c:v>2</c:v>
                </c:pt>
                <c:pt idx="107">
                  <c:v>6</c:v>
                </c:pt>
                <c:pt idx="108">
                  <c:v>4</c:v>
                </c:pt>
                <c:pt idx="109">
                  <c:v>3</c:v>
                </c:pt>
                <c:pt idx="110">
                  <c:v>1</c:v>
                </c:pt>
                <c:pt idx="111">
                  <c:v>10</c:v>
                </c:pt>
                <c:pt idx="113">
                  <c:v>7</c:v>
                </c:pt>
                <c:pt idx="114">
                  <c:v>8</c:v>
                </c:pt>
                <c:pt idx="1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CD-4328-96AF-C0FC455FA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199711"/>
        <c:axId val="868395279"/>
      </c:lineChart>
      <c:catAx>
        <c:axId val="878199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8395279"/>
        <c:crosses val="autoZero"/>
        <c:auto val="1"/>
        <c:lblAlgn val="ctr"/>
        <c:lblOffset val="100"/>
        <c:noMultiLvlLbl val="0"/>
      </c:catAx>
      <c:valAx>
        <c:axId val="86839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819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dd3132f-9328-431c-ae05-68966c7700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[1]画图2!$H$1</c:f>
              <c:strCache>
                <c:ptCount val="1"/>
                <c:pt idx="0">
                  <c:v>海南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[1]画图2!$G$2:$G$44</c:f>
              <c:numCache>
                <c:formatCode>General</c:formatCode>
                <c:ptCount val="43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  <c:pt idx="32">
                  <c:v>44806</c:v>
                </c:pt>
                <c:pt idx="33">
                  <c:v>44807</c:v>
                </c:pt>
                <c:pt idx="34">
                  <c:v>44808</c:v>
                </c:pt>
                <c:pt idx="35">
                  <c:v>44809</c:v>
                </c:pt>
                <c:pt idx="36">
                  <c:v>44810</c:v>
                </c:pt>
                <c:pt idx="37">
                  <c:v>44811</c:v>
                </c:pt>
                <c:pt idx="38">
                  <c:v>44812</c:v>
                </c:pt>
                <c:pt idx="39">
                  <c:v>44813</c:v>
                </c:pt>
                <c:pt idx="40">
                  <c:v>44814</c:v>
                </c:pt>
                <c:pt idx="41">
                  <c:v>44815</c:v>
                </c:pt>
                <c:pt idx="42">
                  <c:v>44816</c:v>
                </c:pt>
              </c:numCache>
            </c:numRef>
          </c:cat>
          <c:val>
            <c:numRef>
              <c:f>[1]画图2!$H$2:$H$44</c:f>
              <c:numCache>
                <c:formatCode>General</c:formatCode>
                <c:ptCount val="43"/>
                <c:pt idx="0">
                  <c:v>1</c:v>
                </c:pt>
                <c:pt idx="1">
                  <c:v>13</c:v>
                </c:pt>
                <c:pt idx="2">
                  <c:v>27</c:v>
                </c:pt>
                <c:pt idx="3">
                  <c:v>161</c:v>
                </c:pt>
                <c:pt idx="4">
                  <c:v>301</c:v>
                </c:pt>
                <c:pt idx="5">
                  <c:v>457</c:v>
                </c:pt>
                <c:pt idx="6">
                  <c:v>471</c:v>
                </c:pt>
                <c:pt idx="7">
                  <c:v>428</c:v>
                </c:pt>
                <c:pt idx="8">
                  <c:v>556</c:v>
                </c:pt>
                <c:pt idx="9">
                  <c:v>1355</c:v>
                </c:pt>
                <c:pt idx="10">
                  <c:v>1208</c:v>
                </c:pt>
                <c:pt idx="11">
                  <c:v>1421</c:v>
                </c:pt>
                <c:pt idx="12">
                  <c:v>1337</c:v>
                </c:pt>
                <c:pt idx="13">
                  <c:v>1149</c:v>
                </c:pt>
                <c:pt idx="14">
                  <c:v>1210</c:v>
                </c:pt>
                <c:pt idx="15">
                  <c:v>1662</c:v>
                </c:pt>
                <c:pt idx="16">
                  <c:v>2008</c:v>
                </c:pt>
                <c:pt idx="17">
                  <c:v>1459</c:v>
                </c:pt>
                <c:pt idx="18">
                  <c:v>1060</c:v>
                </c:pt>
                <c:pt idx="19">
                  <c:v>881</c:v>
                </c:pt>
                <c:pt idx="20">
                  <c:v>685</c:v>
                </c:pt>
                <c:pt idx="21">
                  <c:v>676</c:v>
                </c:pt>
                <c:pt idx="22">
                  <c:v>439</c:v>
                </c:pt>
                <c:pt idx="23">
                  <c:v>401</c:v>
                </c:pt>
                <c:pt idx="24">
                  <c:v>357</c:v>
                </c:pt>
                <c:pt idx="25">
                  <c:v>297</c:v>
                </c:pt>
                <c:pt idx="26">
                  <c:v>153</c:v>
                </c:pt>
                <c:pt idx="27">
                  <c:v>120</c:v>
                </c:pt>
                <c:pt idx="28">
                  <c:v>76</c:v>
                </c:pt>
                <c:pt idx="29">
                  <c:v>43</c:v>
                </c:pt>
                <c:pt idx="30">
                  <c:v>82</c:v>
                </c:pt>
                <c:pt idx="31">
                  <c:v>89</c:v>
                </c:pt>
                <c:pt idx="32">
                  <c:v>37</c:v>
                </c:pt>
                <c:pt idx="33">
                  <c:v>50</c:v>
                </c:pt>
                <c:pt idx="34">
                  <c:v>20</c:v>
                </c:pt>
                <c:pt idx="35">
                  <c:v>14</c:v>
                </c:pt>
                <c:pt idx="36">
                  <c:v>10</c:v>
                </c:pt>
                <c:pt idx="37">
                  <c:v>5</c:v>
                </c:pt>
                <c:pt idx="38">
                  <c:v>6</c:v>
                </c:pt>
                <c:pt idx="39">
                  <c:v>5</c:v>
                </c:pt>
                <c:pt idx="40">
                  <c:v>3</c:v>
                </c:pt>
                <c:pt idx="41">
                  <c:v>1</c:v>
                </c:pt>
                <c:pt idx="4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A6-4CAC-8054-8EB808F05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0686480"/>
        <c:axId val="1545568672"/>
      </c:lineChart>
      <c:catAx>
        <c:axId val="154068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5568672"/>
        <c:crosses val="autoZero"/>
        <c:auto val="1"/>
        <c:lblAlgn val="ctr"/>
        <c:lblOffset val="100"/>
        <c:tickLblSkip val="10"/>
        <c:noMultiLvlLbl val="0"/>
      </c:catAx>
      <c:valAx>
        <c:axId val="154556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068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dae452-b05c-4926-b19c-57f91ef8f3c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45720</xdr:colOff>
      <xdr:row>972</xdr:row>
      <xdr:rowOff>20954</xdr:rowOff>
    </xdr:from>
    <xdr:to>
      <xdr:col>60</xdr:col>
      <xdr:colOff>205740</xdr:colOff>
      <xdr:row>997</xdr:row>
      <xdr:rowOff>60959</xdr:rowOff>
    </xdr:to>
    <xdr:grpSp>
      <xdr:nvGrpSpPr>
        <xdr:cNvPr id="18" name="组合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21724620" y="170373674"/>
          <a:ext cx="10858500" cy="4421505"/>
          <a:chOff x="20210541" y="47402139"/>
          <a:chExt cx="10939939" cy="4567981"/>
        </a:xfrm>
      </xdr:grpSpPr>
      <xdr:grpSp>
        <xdr:nvGrpSpPr>
          <xdr:cNvPr id="19" name="组合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GrpSpPr/>
        </xdr:nvGrpSpPr>
        <xdr:grpSpPr>
          <a:xfrm>
            <a:off x="20210541" y="47402139"/>
            <a:ext cx="10939939" cy="4567981"/>
            <a:chOff x="6713616" y="49564314"/>
            <a:chExt cx="10939939" cy="4567981"/>
          </a:xfrm>
        </xdr:grpSpPr>
        <xdr:graphicFrame macro="">
          <xdr:nvGraphicFramePr>
            <xdr:cNvPr id="21" name="图表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GraphicFramePr/>
          </xdr:nvGraphicFramePr>
          <xdr:xfrm>
            <a:off x="6713616" y="49564314"/>
            <a:ext cx="10939939" cy="456798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22" name="图表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GraphicFramePr/>
          </xdr:nvGraphicFramePr>
          <xdr:xfrm>
            <a:off x="8924925" y="49863375"/>
            <a:ext cx="2114550" cy="13716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23" name="图表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GraphicFramePr/>
          </xdr:nvGraphicFramePr>
          <xdr:xfrm>
            <a:off x="11182349" y="49872900"/>
            <a:ext cx="1952626" cy="13906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graphicFrame macro="">
        <xdr:nvGraphicFramePr>
          <xdr:cNvPr id="20" name="图表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GraphicFramePr/>
        </xdr:nvGraphicFramePr>
        <xdr:xfrm>
          <a:off x="26774775" y="47710726"/>
          <a:ext cx="1952625" cy="1409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MDX\&#30805;&#22763;&#25991;&#20214;202311\&#20013;&#22269;&#21160;&#24577;&#28165;&#38646;&#25919;&#31574;&#35843;&#25972;&#25991;&#31456;0508\Codes\&#25968;&#25454;\&#22269;&#20869;&#30123;&#24773;&#25968;&#25454;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数据"/>
      <sheetName val="画图1"/>
      <sheetName val="画图2"/>
    </sheetNames>
    <sheetDataSet>
      <sheetData sheetId="0"/>
      <sheetData sheetId="1">
        <row r="1">
          <cell r="B1" t="str">
            <v>江苏</v>
          </cell>
          <cell r="C1" t="str">
            <v>北京</v>
          </cell>
          <cell r="D1" t="str">
            <v>天津</v>
          </cell>
          <cell r="E1" t="str">
            <v>上海</v>
          </cell>
          <cell r="F1" t="str">
            <v>重庆</v>
          </cell>
          <cell r="G1" t="str">
            <v>安徽</v>
          </cell>
          <cell r="H1" t="str">
            <v>福建</v>
          </cell>
          <cell r="I1" t="str">
            <v>广东</v>
          </cell>
          <cell r="J1" t="str">
            <v>广西</v>
          </cell>
          <cell r="K1" t="str">
            <v>贵州</v>
          </cell>
          <cell r="L1" t="str">
            <v>甘肃</v>
          </cell>
          <cell r="M1" t="str">
            <v>海南</v>
          </cell>
          <cell r="N1" t="str">
            <v>河南</v>
          </cell>
          <cell r="O1" t="str">
            <v>黑龙江</v>
          </cell>
          <cell r="P1" t="str">
            <v>湖南</v>
          </cell>
          <cell r="Q1" t="str">
            <v>河北</v>
          </cell>
          <cell r="R1" t="str">
            <v>江西</v>
          </cell>
          <cell r="S1" t="str">
            <v>吉林</v>
          </cell>
          <cell r="T1" t="str">
            <v>辽宁</v>
          </cell>
          <cell r="U1" t="str">
            <v>宁夏</v>
          </cell>
          <cell r="V1" t="str">
            <v>内蒙古</v>
          </cell>
          <cell r="W1" t="str">
            <v>青海</v>
          </cell>
          <cell r="X1" t="str">
            <v>山东</v>
          </cell>
          <cell r="Y1" t="str">
            <v>山西</v>
          </cell>
          <cell r="Z1" t="str">
            <v>陕西</v>
          </cell>
          <cell r="AA1" t="str">
            <v>四川</v>
          </cell>
          <cell r="AB1" t="str">
            <v>新疆</v>
          </cell>
          <cell r="AC1" t="str">
            <v>云南</v>
          </cell>
          <cell r="AD1" t="str">
            <v>浙江</v>
          </cell>
          <cell r="AE1" t="str">
            <v>湖北</v>
          </cell>
          <cell r="AF1" t="str">
            <v>西藏</v>
          </cell>
        </row>
        <row r="2">
          <cell r="A2">
            <v>44562</v>
          </cell>
          <cell r="N2">
            <v>5</v>
          </cell>
          <cell r="Z2">
            <v>123</v>
          </cell>
          <cell r="AD2">
            <v>7</v>
          </cell>
        </row>
        <row r="3">
          <cell r="A3">
            <v>44563</v>
          </cell>
          <cell r="N3">
            <v>3</v>
          </cell>
          <cell r="Z3">
            <v>92</v>
          </cell>
          <cell r="AD3">
            <v>9</v>
          </cell>
        </row>
        <row r="4">
          <cell r="A4">
            <v>44564</v>
          </cell>
          <cell r="N4">
            <v>24</v>
          </cell>
          <cell r="Z4">
            <v>95</v>
          </cell>
          <cell r="AD4">
            <v>8</v>
          </cell>
        </row>
        <row r="5">
          <cell r="A5">
            <v>44565</v>
          </cell>
          <cell r="N5">
            <v>22</v>
          </cell>
          <cell r="Z5">
            <v>35</v>
          </cell>
          <cell r="AD5">
            <v>2</v>
          </cell>
        </row>
        <row r="6">
          <cell r="A6">
            <v>44566</v>
          </cell>
          <cell r="N6">
            <v>73</v>
          </cell>
          <cell r="Z6">
            <v>63</v>
          </cell>
          <cell r="AD6">
            <v>6</v>
          </cell>
        </row>
        <row r="7">
          <cell r="A7">
            <v>44567</v>
          </cell>
          <cell r="N7">
            <v>56</v>
          </cell>
          <cell r="Z7">
            <v>57</v>
          </cell>
          <cell r="AD7">
            <v>3</v>
          </cell>
        </row>
        <row r="8">
          <cell r="A8">
            <v>44568</v>
          </cell>
          <cell r="I8">
            <v>2</v>
          </cell>
          <cell r="N8">
            <v>44</v>
          </cell>
          <cell r="Z8">
            <v>46</v>
          </cell>
          <cell r="AD8">
            <v>4</v>
          </cell>
        </row>
        <row r="9">
          <cell r="A9">
            <v>44569</v>
          </cell>
          <cell r="D9">
            <v>3</v>
          </cell>
          <cell r="I9">
            <v>1</v>
          </cell>
          <cell r="N9">
            <v>56</v>
          </cell>
          <cell r="Z9">
            <v>30</v>
          </cell>
          <cell r="AD9">
            <v>2</v>
          </cell>
        </row>
        <row r="10">
          <cell r="A10">
            <v>44570</v>
          </cell>
          <cell r="D10">
            <v>23</v>
          </cell>
          <cell r="I10">
            <v>1</v>
          </cell>
          <cell r="N10">
            <v>60</v>
          </cell>
          <cell r="Z10">
            <v>15</v>
          </cell>
          <cell r="AD10">
            <v>0</v>
          </cell>
        </row>
        <row r="11">
          <cell r="A11">
            <v>44571</v>
          </cell>
          <cell r="D11">
            <v>21</v>
          </cell>
          <cell r="I11">
            <v>0</v>
          </cell>
          <cell r="N11">
            <v>87</v>
          </cell>
          <cell r="Z11">
            <v>13</v>
          </cell>
          <cell r="AD11">
            <v>0</v>
          </cell>
        </row>
        <row r="12">
          <cell r="A12">
            <v>44572</v>
          </cell>
          <cell r="D12">
            <v>36</v>
          </cell>
          <cell r="I12">
            <v>8</v>
          </cell>
          <cell r="N12">
            <v>118</v>
          </cell>
          <cell r="Z12">
            <v>8</v>
          </cell>
          <cell r="AD12">
            <v>0</v>
          </cell>
        </row>
        <row r="13">
          <cell r="A13">
            <v>44573</v>
          </cell>
          <cell r="D13">
            <v>46</v>
          </cell>
          <cell r="I13">
            <v>2</v>
          </cell>
          <cell r="N13">
            <v>76</v>
          </cell>
          <cell r="Z13">
            <v>6</v>
          </cell>
          <cell r="AD13">
            <v>0</v>
          </cell>
        </row>
        <row r="14">
          <cell r="A14">
            <v>44574</v>
          </cell>
          <cell r="D14">
            <v>35</v>
          </cell>
          <cell r="I14">
            <v>1</v>
          </cell>
          <cell r="N14">
            <v>98</v>
          </cell>
          <cell r="Z14">
            <v>8</v>
          </cell>
          <cell r="AD14">
            <v>0</v>
          </cell>
        </row>
        <row r="15">
          <cell r="A15">
            <v>44575</v>
          </cell>
          <cell r="D15">
            <v>39</v>
          </cell>
          <cell r="I15">
            <v>10</v>
          </cell>
          <cell r="N15">
            <v>52</v>
          </cell>
          <cell r="Z15">
            <v>4</v>
          </cell>
          <cell r="AD15">
            <v>1</v>
          </cell>
        </row>
        <row r="16">
          <cell r="A16">
            <v>44576</v>
          </cell>
          <cell r="C16">
            <v>1</v>
          </cell>
          <cell r="D16">
            <v>33</v>
          </cell>
          <cell r="I16">
            <v>2</v>
          </cell>
          <cell r="N16">
            <v>29</v>
          </cell>
          <cell r="Z16">
            <v>1</v>
          </cell>
          <cell r="AD16">
            <v>1</v>
          </cell>
        </row>
        <row r="17">
          <cell r="A17">
            <v>44577</v>
          </cell>
          <cell r="C17">
            <v>0</v>
          </cell>
          <cell r="D17">
            <v>80</v>
          </cell>
          <cell r="I17">
            <v>9</v>
          </cell>
          <cell r="N17">
            <v>68</v>
          </cell>
          <cell r="Z17">
            <v>5</v>
          </cell>
        </row>
        <row r="18">
          <cell r="A18">
            <v>44578</v>
          </cell>
          <cell r="C18">
            <v>1</v>
          </cell>
          <cell r="D18">
            <v>18</v>
          </cell>
          <cell r="I18">
            <v>5</v>
          </cell>
          <cell r="N18">
            <v>102</v>
          </cell>
          <cell r="Z18">
            <v>1</v>
          </cell>
        </row>
        <row r="19">
          <cell r="A19">
            <v>44579</v>
          </cell>
          <cell r="C19">
            <v>2</v>
          </cell>
          <cell r="D19">
            <v>14</v>
          </cell>
          <cell r="I19">
            <v>8</v>
          </cell>
          <cell r="N19">
            <v>33</v>
          </cell>
          <cell r="Z19">
            <v>0</v>
          </cell>
        </row>
        <row r="20">
          <cell r="A20">
            <v>44580</v>
          </cell>
          <cell r="C20">
            <v>3</v>
          </cell>
          <cell r="D20">
            <v>14</v>
          </cell>
          <cell r="I20">
            <v>4</v>
          </cell>
          <cell r="N20">
            <v>24</v>
          </cell>
          <cell r="Z20">
            <v>0</v>
          </cell>
        </row>
        <row r="21">
          <cell r="A21">
            <v>44581</v>
          </cell>
          <cell r="C21">
            <v>5</v>
          </cell>
          <cell r="D21">
            <v>8</v>
          </cell>
          <cell r="I21">
            <v>4</v>
          </cell>
          <cell r="N21">
            <v>3</v>
          </cell>
          <cell r="Z21">
            <v>3</v>
          </cell>
        </row>
        <row r="22">
          <cell r="A22">
            <v>44582</v>
          </cell>
          <cell r="C22">
            <v>16</v>
          </cell>
          <cell r="D22">
            <v>6</v>
          </cell>
          <cell r="I22">
            <v>3</v>
          </cell>
          <cell r="N22">
            <v>4</v>
          </cell>
        </row>
        <row r="23">
          <cell r="A23">
            <v>44583</v>
          </cell>
          <cell r="C23">
            <v>13</v>
          </cell>
          <cell r="D23">
            <v>5</v>
          </cell>
          <cell r="I23">
            <v>4</v>
          </cell>
          <cell r="N23">
            <v>1</v>
          </cell>
        </row>
        <row r="24">
          <cell r="A24">
            <v>44584</v>
          </cell>
          <cell r="C24">
            <v>8</v>
          </cell>
          <cell r="D24">
            <v>1</v>
          </cell>
          <cell r="I24">
            <v>1</v>
          </cell>
          <cell r="N24">
            <v>1</v>
          </cell>
          <cell r="AB24">
            <v>2</v>
          </cell>
        </row>
        <row r="25">
          <cell r="A25">
            <v>44585</v>
          </cell>
          <cell r="C25">
            <v>6</v>
          </cell>
          <cell r="D25">
            <v>1</v>
          </cell>
          <cell r="I25">
            <v>0</v>
          </cell>
          <cell r="N25">
            <v>3</v>
          </cell>
          <cell r="AB25">
            <v>22</v>
          </cell>
        </row>
        <row r="26">
          <cell r="A26">
            <v>44586</v>
          </cell>
          <cell r="C26">
            <v>19</v>
          </cell>
          <cell r="D26">
            <v>0</v>
          </cell>
          <cell r="I26">
            <v>1</v>
          </cell>
          <cell r="N26">
            <v>1</v>
          </cell>
          <cell r="O26">
            <v>13</v>
          </cell>
          <cell r="AB26">
            <v>8</v>
          </cell>
        </row>
        <row r="27">
          <cell r="A27">
            <v>44587</v>
          </cell>
          <cell r="C27">
            <v>5</v>
          </cell>
          <cell r="D27">
            <v>1</v>
          </cell>
          <cell r="I27">
            <v>0</v>
          </cell>
          <cell r="N27">
            <v>1</v>
          </cell>
          <cell r="O27">
            <v>16</v>
          </cell>
          <cell r="AB27">
            <v>7</v>
          </cell>
          <cell r="AD27">
            <v>6</v>
          </cell>
        </row>
        <row r="28">
          <cell r="A28">
            <v>44588</v>
          </cell>
          <cell r="C28">
            <v>9</v>
          </cell>
          <cell r="D28">
            <v>4</v>
          </cell>
          <cell r="I28">
            <v>0</v>
          </cell>
          <cell r="O28">
            <v>18</v>
          </cell>
          <cell r="AB28">
            <v>1</v>
          </cell>
          <cell r="AD28">
            <v>16</v>
          </cell>
        </row>
        <row r="29">
          <cell r="A29">
            <v>44589</v>
          </cell>
          <cell r="C29">
            <v>5</v>
          </cell>
          <cell r="D29">
            <v>5</v>
          </cell>
          <cell r="I29">
            <v>0</v>
          </cell>
          <cell r="O29">
            <v>2</v>
          </cell>
          <cell r="AB29">
            <v>5</v>
          </cell>
          <cell r="AD29">
            <v>18</v>
          </cell>
        </row>
        <row r="30">
          <cell r="A30">
            <v>44590</v>
          </cell>
          <cell r="C30">
            <v>20</v>
          </cell>
          <cell r="D30">
            <v>4</v>
          </cell>
          <cell r="I30">
            <v>0</v>
          </cell>
          <cell r="O30">
            <v>20</v>
          </cell>
          <cell r="AB30">
            <v>3</v>
          </cell>
          <cell r="AD30">
            <v>0</v>
          </cell>
        </row>
        <row r="31">
          <cell r="A31">
            <v>44591</v>
          </cell>
          <cell r="C31">
            <v>3</v>
          </cell>
          <cell r="D31">
            <v>11</v>
          </cell>
          <cell r="I31">
            <v>0</v>
          </cell>
          <cell r="O31">
            <v>4</v>
          </cell>
          <cell r="AD31">
            <v>24</v>
          </cell>
        </row>
        <row r="32">
          <cell r="A32">
            <v>44592</v>
          </cell>
          <cell r="C32">
            <v>3</v>
          </cell>
          <cell r="D32">
            <v>7</v>
          </cell>
          <cell r="I32">
            <v>0</v>
          </cell>
          <cell r="AD32">
            <v>13</v>
          </cell>
        </row>
        <row r="33">
          <cell r="A33">
            <v>44593</v>
          </cell>
          <cell r="C33">
            <v>2</v>
          </cell>
          <cell r="D33">
            <v>12</v>
          </cell>
          <cell r="I33">
            <v>4</v>
          </cell>
          <cell r="AD33">
            <v>15</v>
          </cell>
        </row>
        <row r="34">
          <cell r="A34">
            <v>44594</v>
          </cell>
          <cell r="C34">
            <v>2</v>
          </cell>
          <cell r="D34">
            <v>9</v>
          </cell>
          <cell r="I34">
            <v>1</v>
          </cell>
          <cell r="AD34">
            <v>1</v>
          </cell>
        </row>
        <row r="35">
          <cell r="A35">
            <v>44595</v>
          </cell>
          <cell r="C35">
            <v>1</v>
          </cell>
          <cell r="D35">
            <v>4</v>
          </cell>
          <cell r="I35">
            <v>1</v>
          </cell>
          <cell r="AD35">
            <v>2</v>
          </cell>
        </row>
        <row r="36">
          <cell r="A36">
            <v>44596</v>
          </cell>
          <cell r="C36">
            <v>1</v>
          </cell>
          <cell r="D36">
            <v>2</v>
          </cell>
        </row>
        <row r="37">
          <cell r="A37">
            <v>44597</v>
          </cell>
          <cell r="C37">
            <v>1</v>
          </cell>
          <cell r="D37">
            <v>2</v>
          </cell>
          <cell r="J37">
            <v>6</v>
          </cell>
        </row>
        <row r="38">
          <cell r="A38">
            <v>44598</v>
          </cell>
          <cell r="C38">
            <v>3</v>
          </cell>
          <cell r="D38">
            <v>1</v>
          </cell>
          <cell r="J38">
            <v>42</v>
          </cell>
          <cell r="O38">
            <v>5</v>
          </cell>
        </row>
        <row r="39">
          <cell r="A39">
            <v>44599</v>
          </cell>
          <cell r="D39">
            <v>1</v>
          </cell>
          <cell r="J39">
            <v>66</v>
          </cell>
          <cell r="O39">
            <v>2</v>
          </cell>
        </row>
        <row r="40">
          <cell r="A40">
            <v>44600</v>
          </cell>
          <cell r="J40">
            <v>72</v>
          </cell>
          <cell r="O40">
            <v>1</v>
          </cell>
          <cell r="T40">
            <v>1</v>
          </cell>
        </row>
        <row r="41">
          <cell r="A41">
            <v>44601</v>
          </cell>
          <cell r="J41">
            <v>7</v>
          </cell>
          <cell r="O41">
            <v>1</v>
          </cell>
          <cell r="T41">
            <v>0</v>
          </cell>
        </row>
        <row r="42">
          <cell r="A42">
            <v>44602</v>
          </cell>
          <cell r="J42">
            <v>33</v>
          </cell>
          <cell r="O42">
            <v>0</v>
          </cell>
          <cell r="T42">
            <v>23</v>
          </cell>
        </row>
        <row r="43">
          <cell r="A43">
            <v>44603</v>
          </cell>
          <cell r="B43">
            <v>1</v>
          </cell>
          <cell r="J43">
            <v>30</v>
          </cell>
          <cell r="O43">
            <v>2</v>
          </cell>
          <cell r="T43">
            <v>12</v>
          </cell>
        </row>
        <row r="44">
          <cell r="A44">
            <v>44604</v>
          </cell>
          <cell r="B44">
            <v>0</v>
          </cell>
          <cell r="I44">
            <v>1</v>
          </cell>
          <cell r="J44">
            <v>13</v>
          </cell>
          <cell r="O44">
            <v>0</v>
          </cell>
          <cell r="T44">
            <v>11</v>
          </cell>
          <cell r="AC44">
            <v>3</v>
          </cell>
        </row>
        <row r="45">
          <cell r="A45">
            <v>44605</v>
          </cell>
          <cell r="B45">
            <v>0</v>
          </cell>
          <cell r="I45">
            <v>2</v>
          </cell>
          <cell r="J45">
            <v>6</v>
          </cell>
          <cell r="O45">
            <v>1</v>
          </cell>
          <cell r="T45">
            <v>18</v>
          </cell>
          <cell r="AC45">
            <v>7</v>
          </cell>
        </row>
        <row r="46">
          <cell r="A46">
            <v>44606</v>
          </cell>
          <cell r="B46">
            <v>12</v>
          </cell>
          <cell r="I46">
            <v>2</v>
          </cell>
          <cell r="J46">
            <v>1</v>
          </cell>
          <cell r="O46">
            <v>0</v>
          </cell>
          <cell r="T46">
            <v>29</v>
          </cell>
          <cell r="AC46">
            <v>3</v>
          </cell>
        </row>
        <row r="47">
          <cell r="A47">
            <v>44607</v>
          </cell>
          <cell r="B47">
            <v>22</v>
          </cell>
          <cell r="I47">
            <v>4</v>
          </cell>
          <cell r="J47">
            <v>2</v>
          </cell>
          <cell r="O47">
            <v>0</v>
          </cell>
          <cell r="T47">
            <v>15</v>
          </cell>
          <cell r="V47">
            <v>7</v>
          </cell>
          <cell r="AC47">
            <v>1</v>
          </cell>
        </row>
        <row r="48">
          <cell r="A48">
            <v>44608</v>
          </cell>
          <cell r="B48">
            <v>23</v>
          </cell>
          <cell r="I48">
            <v>9</v>
          </cell>
          <cell r="J48">
            <v>1</v>
          </cell>
          <cell r="O48">
            <v>0</v>
          </cell>
          <cell r="T48">
            <v>7</v>
          </cell>
          <cell r="V48">
            <v>3</v>
          </cell>
          <cell r="AC48">
            <v>3</v>
          </cell>
        </row>
        <row r="49">
          <cell r="A49">
            <v>44609</v>
          </cell>
          <cell r="B49">
            <v>16</v>
          </cell>
          <cell r="I49">
            <v>5</v>
          </cell>
          <cell r="O49">
            <v>0</v>
          </cell>
          <cell r="T49">
            <v>9</v>
          </cell>
          <cell r="V49">
            <v>22</v>
          </cell>
          <cell r="AC49">
            <v>8</v>
          </cell>
        </row>
        <row r="50">
          <cell r="A50">
            <v>44610</v>
          </cell>
          <cell r="B50">
            <v>28</v>
          </cell>
          <cell r="I50">
            <v>3</v>
          </cell>
          <cell r="O50">
            <v>2</v>
          </cell>
          <cell r="T50">
            <v>8</v>
          </cell>
          <cell r="V50">
            <v>46</v>
          </cell>
          <cell r="AC50">
            <v>7</v>
          </cell>
        </row>
        <row r="51">
          <cell r="A51">
            <v>44611</v>
          </cell>
          <cell r="B51">
            <v>16</v>
          </cell>
          <cell r="I51">
            <v>8</v>
          </cell>
          <cell r="O51">
            <v>0</v>
          </cell>
          <cell r="T51">
            <v>9</v>
          </cell>
          <cell r="V51">
            <v>66</v>
          </cell>
          <cell r="AC51">
            <v>3</v>
          </cell>
        </row>
        <row r="52">
          <cell r="A52">
            <v>44612</v>
          </cell>
          <cell r="B52">
            <v>17</v>
          </cell>
          <cell r="E52">
            <v>2</v>
          </cell>
          <cell r="I52">
            <v>7</v>
          </cell>
          <cell r="O52">
            <v>4</v>
          </cell>
          <cell r="T52">
            <v>7</v>
          </cell>
          <cell r="V52">
            <v>32</v>
          </cell>
          <cell r="AC52">
            <v>5</v>
          </cell>
        </row>
        <row r="53">
          <cell r="A53">
            <v>44613</v>
          </cell>
          <cell r="B53">
            <v>14</v>
          </cell>
          <cell r="E53">
            <v>0</v>
          </cell>
          <cell r="I53">
            <v>3</v>
          </cell>
          <cell r="O53">
            <v>0</v>
          </cell>
          <cell r="T53">
            <v>6</v>
          </cell>
          <cell r="V53">
            <v>22</v>
          </cell>
          <cell r="AC53">
            <v>5</v>
          </cell>
        </row>
        <row r="54">
          <cell r="A54">
            <v>44614</v>
          </cell>
          <cell r="B54">
            <v>5</v>
          </cell>
          <cell r="E54">
            <v>0</v>
          </cell>
          <cell r="I54">
            <v>9</v>
          </cell>
          <cell r="O54">
            <v>1</v>
          </cell>
          <cell r="T54">
            <v>9</v>
          </cell>
          <cell r="V54">
            <v>47</v>
          </cell>
          <cell r="X54">
            <v>1</v>
          </cell>
          <cell r="AC54">
            <v>3</v>
          </cell>
        </row>
        <row r="55">
          <cell r="A55">
            <v>44615</v>
          </cell>
          <cell r="B55">
            <v>8</v>
          </cell>
          <cell r="E55">
            <v>0</v>
          </cell>
          <cell r="I55">
            <v>9</v>
          </cell>
          <cell r="J55">
            <v>3</v>
          </cell>
          <cell r="O55">
            <v>5</v>
          </cell>
          <cell r="T55">
            <v>8</v>
          </cell>
          <cell r="V55">
            <v>40</v>
          </cell>
          <cell r="AC55">
            <v>10</v>
          </cell>
        </row>
        <row r="56">
          <cell r="A56">
            <v>44616</v>
          </cell>
          <cell r="B56">
            <v>2</v>
          </cell>
          <cell r="D56">
            <v>1</v>
          </cell>
          <cell r="E56">
            <v>1</v>
          </cell>
          <cell r="I56">
            <v>13</v>
          </cell>
          <cell r="J56">
            <v>4</v>
          </cell>
          <cell r="O56">
            <v>4</v>
          </cell>
          <cell r="T56">
            <v>18</v>
          </cell>
          <cell r="V56">
            <v>30</v>
          </cell>
          <cell r="X56">
            <v>1</v>
          </cell>
          <cell r="AC56">
            <v>14</v>
          </cell>
        </row>
        <row r="57">
          <cell r="A57">
            <v>44617</v>
          </cell>
          <cell r="B57">
            <v>4</v>
          </cell>
          <cell r="D57">
            <v>0</v>
          </cell>
          <cell r="E57">
            <v>1</v>
          </cell>
          <cell r="I57">
            <v>39</v>
          </cell>
          <cell r="J57">
            <v>9</v>
          </cell>
          <cell r="O57">
            <v>2</v>
          </cell>
          <cell r="T57">
            <v>10</v>
          </cell>
          <cell r="V57">
            <v>32</v>
          </cell>
          <cell r="AC57">
            <v>20</v>
          </cell>
        </row>
        <row r="58">
          <cell r="A58">
            <v>44618</v>
          </cell>
          <cell r="B58">
            <v>2</v>
          </cell>
          <cell r="D58">
            <v>4</v>
          </cell>
          <cell r="E58">
            <v>1</v>
          </cell>
          <cell r="I58">
            <v>53</v>
          </cell>
          <cell r="J58">
            <v>7</v>
          </cell>
          <cell r="O58">
            <v>0</v>
          </cell>
          <cell r="T58">
            <v>6</v>
          </cell>
          <cell r="V58">
            <v>38</v>
          </cell>
          <cell r="AC58">
            <v>14</v>
          </cell>
        </row>
        <row r="59">
          <cell r="A59">
            <v>44619</v>
          </cell>
          <cell r="B59">
            <v>0</v>
          </cell>
          <cell r="D59">
            <v>10</v>
          </cell>
          <cell r="E59">
            <v>1</v>
          </cell>
          <cell r="I59">
            <v>65</v>
          </cell>
          <cell r="J59">
            <v>11</v>
          </cell>
          <cell r="O59">
            <v>7</v>
          </cell>
          <cell r="T59">
            <v>1</v>
          </cell>
          <cell r="V59">
            <v>11</v>
          </cell>
          <cell r="AC59">
            <v>23</v>
          </cell>
        </row>
        <row r="60">
          <cell r="A60">
            <v>44620</v>
          </cell>
          <cell r="B60">
            <v>3</v>
          </cell>
          <cell r="D60">
            <v>6</v>
          </cell>
          <cell r="E60">
            <v>3</v>
          </cell>
          <cell r="I60">
            <v>56</v>
          </cell>
          <cell r="J60">
            <v>6</v>
          </cell>
          <cell r="O60">
            <v>9</v>
          </cell>
          <cell r="T60">
            <v>0</v>
          </cell>
          <cell r="V60">
            <v>14</v>
          </cell>
          <cell r="X60">
            <v>1</v>
          </cell>
          <cell r="AC60">
            <v>12</v>
          </cell>
        </row>
        <row r="61">
          <cell r="A61">
            <v>44621</v>
          </cell>
          <cell r="B61">
            <v>0</v>
          </cell>
          <cell r="D61">
            <v>1</v>
          </cell>
          <cell r="I61">
            <v>45</v>
          </cell>
          <cell r="J61">
            <v>10</v>
          </cell>
          <cell r="O61">
            <v>16</v>
          </cell>
          <cell r="T61">
            <v>2</v>
          </cell>
          <cell r="V61">
            <v>16</v>
          </cell>
          <cell r="X61">
            <v>4</v>
          </cell>
          <cell r="AC61">
            <v>10</v>
          </cell>
        </row>
        <row r="62">
          <cell r="A62">
            <v>44622</v>
          </cell>
          <cell r="B62">
            <v>1</v>
          </cell>
          <cell r="D62">
            <v>1</v>
          </cell>
          <cell r="I62">
            <v>34</v>
          </cell>
          <cell r="J62">
            <v>8</v>
          </cell>
          <cell r="O62">
            <v>4</v>
          </cell>
          <cell r="Q62">
            <v>1</v>
          </cell>
          <cell r="V62">
            <v>7</v>
          </cell>
          <cell r="X62">
            <v>0</v>
          </cell>
          <cell r="AC62">
            <v>10</v>
          </cell>
        </row>
        <row r="63">
          <cell r="A63">
            <v>44623</v>
          </cell>
          <cell r="B63">
            <v>1</v>
          </cell>
          <cell r="D63">
            <v>1</v>
          </cell>
          <cell r="I63">
            <v>28</v>
          </cell>
          <cell r="J63">
            <v>8</v>
          </cell>
          <cell r="O63">
            <v>8</v>
          </cell>
          <cell r="Q63">
            <v>5</v>
          </cell>
          <cell r="V63">
            <v>9</v>
          </cell>
          <cell r="X63">
            <v>0</v>
          </cell>
          <cell r="AC63">
            <v>4</v>
          </cell>
          <cell r="AD63">
            <v>2</v>
          </cell>
        </row>
        <row r="64">
          <cell r="A64">
            <v>44624</v>
          </cell>
          <cell r="B64">
            <v>1</v>
          </cell>
          <cell r="D64">
            <v>3</v>
          </cell>
          <cell r="I64">
            <v>64</v>
          </cell>
          <cell r="J64">
            <v>7</v>
          </cell>
          <cell r="O64">
            <v>1</v>
          </cell>
          <cell r="Q64">
            <v>7</v>
          </cell>
          <cell r="V64">
            <v>8</v>
          </cell>
          <cell r="X64">
            <v>5</v>
          </cell>
          <cell r="AC64">
            <v>10</v>
          </cell>
          <cell r="AD64">
            <v>0</v>
          </cell>
        </row>
        <row r="65">
          <cell r="A65">
            <v>44625</v>
          </cell>
          <cell r="B65">
            <v>7</v>
          </cell>
          <cell r="D65">
            <v>0</v>
          </cell>
          <cell r="I65">
            <v>52</v>
          </cell>
          <cell r="J65">
            <v>12</v>
          </cell>
          <cell r="N65">
            <v>1</v>
          </cell>
          <cell r="O65">
            <v>0</v>
          </cell>
          <cell r="Q65">
            <v>14</v>
          </cell>
          <cell r="V65">
            <v>9</v>
          </cell>
          <cell r="X65">
            <v>88</v>
          </cell>
          <cell r="Z65">
            <v>2</v>
          </cell>
          <cell r="AC65">
            <v>21</v>
          </cell>
          <cell r="AD65">
            <v>3</v>
          </cell>
        </row>
        <row r="66">
          <cell r="A66">
            <v>44626</v>
          </cell>
          <cell r="B66">
            <v>6</v>
          </cell>
          <cell r="D66">
            <v>0</v>
          </cell>
          <cell r="I66">
            <v>173</v>
          </cell>
          <cell r="J66">
            <v>11</v>
          </cell>
          <cell r="L66">
            <v>12</v>
          </cell>
          <cell r="N66">
            <v>0</v>
          </cell>
          <cell r="O66">
            <v>0</v>
          </cell>
          <cell r="Q66">
            <v>10</v>
          </cell>
          <cell r="T66">
            <v>3</v>
          </cell>
          <cell r="V66">
            <v>7</v>
          </cell>
          <cell r="X66">
            <v>163</v>
          </cell>
          <cell r="Z66">
            <v>0</v>
          </cell>
          <cell r="AC66">
            <v>22</v>
          </cell>
          <cell r="AD66">
            <v>1</v>
          </cell>
        </row>
        <row r="67">
          <cell r="A67">
            <v>44627</v>
          </cell>
          <cell r="B67">
            <v>15</v>
          </cell>
          <cell r="C67">
            <v>1</v>
          </cell>
          <cell r="D67">
            <v>3</v>
          </cell>
          <cell r="I67">
            <v>116</v>
          </cell>
          <cell r="J67">
            <v>3</v>
          </cell>
          <cell r="L67">
            <v>11</v>
          </cell>
          <cell r="N67">
            <v>0</v>
          </cell>
          <cell r="O67">
            <v>0</v>
          </cell>
          <cell r="Q67">
            <v>4</v>
          </cell>
          <cell r="T67">
            <v>8</v>
          </cell>
          <cell r="V67">
            <v>2</v>
          </cell>
          <cell r="X67">
            <v>175</v>
          </cell>
          <cell r="Z67">
            <v>5</v>
          </cell>
          <cell r="AC67">
            <v>23</v>
          </cell>
          <cell r="AD67">
            <v>4</v>
          </cell>
        </row>
        <row r="68">
          <cell r="A68">
            <v>44628</v>
          </cell>
          <cell r="B68">
            <v>15</v>
          </cell>
          <cell r="C68">
            <v>6</v>
          </cell>
          <cell r="D68">
            <v>12</v>
          </cell>
          <cell r="F68">
            <v>1</v>
          </cell>
          <cell r="G68">
            <v>1</v>
          </cell>
          <cell r="I68">
            <v>26</v>
          </cell>
          <cell r="J68">
            <v>4</v>
          </cell>
          <cell r="L68">
            <v>1</v>
          </cell>
          <cell r="N68">
            <v>0</v>
          </cell>
          <cell r="O68">
            <v>15</v>
          </cell>
          <cell r="Q68">
            <v>11</v>
          </cell>
          <cell r="T68">
            <v>2</v>
          </cell>
          <cell r="V68">
            <v>4</v>
          </cell>
          <cell r="X68">
            <v>156</v>
          </cell>
          <cell r="Z68">
            <v>17</v>
          </cell>
          <cell r="AC68">
            <v>28</v>
          </cell>
          <cell r="AD68">
            <v>1</v>
          </cell>
        </row>
        <row r="69">
          <cell r="A69">
            <v>44629</v>
          </cell>
          <cell r="B69">
            <v>18</v>
          </cell>
          <cell r="C69">
            <v>5</v>
          </cell>
          <cell r="D69">
            <v>21</v>
          </cell>
          <cell r="F69">
            <v>0</v>
          </cell>
          <cell r="G69">
            <v>2</v>
          </cell>
          <cell r="I69">
            <v>22</v>
          </cell>
          <cell r="J69">
            <v>1</v>
          </cell>
          <cell r="L69">
            <v>77</v>
          </cell>
          <cell r="N69">
            <v>4</v>
          </cell>
          <cell r="O69">
            <v>9</v>
          </cell>
          <cell r="Q69">
            <v>15</v>
          </cell>
          <cell r="T69">
            <v>3</v>
          </cell>
          <cell r="V69">
            <v>3</v>
          </cell>
          <cell r="X69">
            <v>175</v>
          </cell>
          <cell r="Z69">
            <v>21</v>
          </cell>
          <cell r="AC69">
            <v>24</v>
          </cell>
          <cell r="AD69">
            <v>3</v>
          </cell>
        </row>
        <row r="70">
          <cell r="A70">
            <v>44630</v>
          </cell>
          <cell r="B70">
            <v>48</v>
          </cell>
          <cell r="C70">
            <v>6</v>
          </cell>
          <cell r="D70">
            <v>18</v>
          </cell>
          <cell r="F70">
            <v>0</v>
          </cell>
          <cell r="G70">
            <v>0</v>
          </cell>
          <cell r="I70">
            <v>177</v>
          </cell>
          <cell r="J70">
            <v>6</v>
          </cell>
          <cell r="L70">
            <v>28</v>
          </cell>
          <cell r="N70">
            <v>1</v>
          </cell>
          <cell r="O70">
            <v>10</v>
          </cell>
          <cell r="Q70">
            <v>32</v>
          </cell>
          <cell r="T70">
            <v>3</v>
          </cell>
          <cell r="V70">
            <v>2</v>
          </cell>
          <cell r="X70">
            <v>366</v>
          </cell>
          <cell r="Z70">
            <v>18</v>
          </cell>
          <cell r="AC70">
            <v>30</v>
          </cell>
          <cell r="AD70">
            <v>16</v>
          </cell>
        </row>
        <row r="71">
          <cell r="A71">
            <v>44631</v>
          </cell>
          <cell r="B71">
            <v>33</v>
          </cell>
          <cell r="C71">
            <v>1</v>
          </cell>
          <cell r="D71">
            <v>41</v>
          </cell>
          <cell r="F71">
            <v>0</v>
          </cell>
          <cell r="G71">
            <v>0</v>
          </cell>
          <cell r="H71">
            <v>2</v>
          </cell>
          <cell r="I71">
            <v>224</v>
          </cell>
          <cell r="J71">
            <v>5</v>
          </cell>
          <cell r="L71">
            <v>43</v>
          </cell>
          <cell r="N71">
            <v>1</v>
          </cell>
          <cell r="O71">
            <v>3</v>
          </cell>
          <cell r="Q71">
            <v>44</v>
          </cell>
          <cell r="T71">
            <v>2</v>
          </cell>
          <cell r="V71">
            <v>1</v>
          </cell>
          <cell r="X71">
            <v>555</v>
          </cell>
          <cell r="Z71">
            <v>30</v>
          </cell>
          <cell r="AC71">
            <v>23</v>
          </cell>
          <cell r="AD71">
            <v>25</v>
          </cell>
        </row>
        <row r="72">
          <cell r="A72">
            <v>44632</v>
          </cell>
          <cell r="B72">
            <v>42</v>
          </cell>
          <cell r="C72">
            <v>6</v>
          </cell>
          <cell r="D72">
            <v>26</v>
          </cell>
          <cell r="F72">
            <v>9</v>
          </cell>
          <cell r="G72">
            <v>0</v>
          </cell>
          <cell r="H72">
            <v>0</v>
          </cell>
          <cell r="I72">
            <v>256</v>
          </cell>
          <cell r="J72">
            <v>9</v>
          </cell>
          <cell r="L72">
            <v>41</v>
          </cell>
          <cell r="N72">
            <v>0</v>
          </cell>
          <cell r="O72">
            <v>3</v>
          </cell>
          <cell r="P72">
            <v>1</v>
          </cell>
          <cell r="Q72">
            <v>73</v>
          </cell>
          <cell r="T72">
            <v>3</v>
          </cell>
          <cell r="V72">
            <v>1</v>
          </cell>
          <cell r="X72">
            <v>236</v>
          </cell>
          <cell r="Z72">
            <v>43</v>
          </cell>
          <cell r="AC72">
            <v>22</v>
          </cell>
          <cell r="AD72">
            <v>15</v>
          </cell>
        </row>
        <row r="73">
          <cell r="A73">
            <v>44633</v>
          </cell>
          <cell r="B73">
            <v>38</v>
          </cell>
          <cell r="C73">
            <v>8</v>
          </cell>
          <cell r="D73">
            <v>50</v>
          </cell>
          <cell r="F73">
            <v>7</v>
          </cell>
          <cell r="G73">
            <v>1</v>
          </cell>
          <cell r="H73">
            <v>10</v>
          </cell>
          <cell r="I73">
            <v>229</v>
          </cell>
          <cell r="J73">
            <v>17</v>
          </cell>
          <cell r="L73">
            <v>27</v>
          </cell>
          <cell r="N73">
            <v>0</v>
          </cell>
          <cell r="O73">
            <v>17</v>
          </cell>
          <cell r="P73">
            <v>0</v>
          </cell>
          <cell r="Q73">
            <v>213</v>
          </cell>
          <cell r="R73">
            <v>4</v>
          </cell>
          <cell r="T73">
            <v>9</v>
          </cell>
          <cell r="V73">
            <v>0</v>
          </cell>
          <cell r="X73">
            <v>163</v>
          </cell>
          <cell r="Z73">
            <v>60</v>
          </cell>
          <cell r="AC73">
            <v>39</v>
          </cell>
          <cell r="AD73">
            <v>8</v>
          </cell>
        </row>
        <row r="74">
          <cell r="A74">
            <v>44634</v>
          </cell>
          <cell r="B74">
            <v>46</v>
          </cell>
          <cell r="C74">
            <v>6</v>
          </cell>
          <cell r="D74">
            <v>47</v>
          </cell>
          <cell r="F74">
            <v>12</v>
          </cell>
          <cell r="G74">
            <v>12</v>
          </cell>
          <cell r="H74">
            <v>63</v>
          </cell>
          <cell r="I74">
            <v>116</v>
          </cell>
          <cell r="J74">
            <v>23</v>
          </cell>
          <cell r="L74">
            <v>25</v>
          </cell>
          <cell r="N74">
            <v>1</v>
          </cell>
          <cell r="O74">
            <v>15</v>
          </cell>
          <cell r="P74">
            <v>1</v>
          </cell>
          <cell r="Q74">
            <v>198</v>
          </cell>
          <cell r="R74">
            <v>1</v>
          </cell>
          <cell r="T74">
            <v>33</v>
          </cell>
          <cell r="V74">
            <v>0</v>
          </cell>
          <cell r="X74">
            <v>170</v>
          </cell>
          <cell r="Z74">
            <v>53</v>
          </cell>
          <cell r="AC74">
            <v>28</v>
          </cell>
          <cell r="AD74">
            <v>38</v>
          </cell>
        </row>
        <row r="75">
          <cell r="A75">
            <v>44635</v>
          </cell>
          <cell r="B75">
            <v>72</v>
          </cell>
          <cell r="C75">
            <v>10</v>
          </cell>
          <cell r="D75">
            <v>64</v>
          </cell>
          <cell r="F75">
            <v>12</v>
          </cell>
          <cell r="G75">
            <v>7</v>
          </cell>
          <cell r="H75">
            <v>36</v>
          </cell>
          <cell r="I75">
            <v>112</v>
          </cell>
          <cell r="J75">
            <v>25</v>
          </cell>
          <cell r="L75">
            <v>20</v>
          </cell>
          <cell r="N75">
            <v>0</v>
          </cell>
          <cell r="O75">
            <v>26</v>
          </cell>
          <cell r="P75">
            <v>1</v>
          </cell>
          <cell r="Q75">
            <v>277</v>
          </cell>
          <cell r="R75">
            <v>3</v>
          </cell>
          <cell r="T75">
            <v>44</v>
          </cell>
          <cell r="V75">
            <v>1</v>
          </cell>
          <cell r="X75">
            <v>159</v>
          </cell>
          <cell r="Z75">
            <v>28</v>
          </cell>
          <cell r="AC75">
            <v>38</v>
          </cell>
          <cell r="AD75">
            <v>29</v>
          </cell>
        </row>
        <row r="76">
          <cell r="A76">
            <v>44636</v>
          </cell>
          <cell r="B76">
            <v>72</v>
          </cell>
          <cell r="C76">
            <v>4</v>
          </cell>
          <cell r="D76">
            <v>50</v>
          </cell>
          <cell r="F76">
            <v>5</v>
          </cell>
          <cell r="G76">
            <v>11</v>
          </cell>
          <cell r="H76">
            <v>141</v>
          </cell>
          <cell r="I76">
            <v>153</v>
          </cell>
          <cell r="J76">
            <v>30</v>
          </cell>
          <cell r="L76">
            <v>20</v>
          </cell>
          <cell r="N76">
            <v>0</v>
          </cell>
          <cell r="O76">
            <v>29</v>
          </cell>
          <cell r="P76">
            <v>0</v>
          </cell>
          <cell r="Q76">
            <v>216</v>
          </cell>
          <cell r="R76">
            <v>1</v>
          </cell>
          <cell r="T76">
            <v>156</v>
          </cell>
          <cell r="V76">
            <v>4</v>
          </cell>
          <cell r="X76">
            <v>122</v>
          </cell>
          <cell r="Z76">
            <v>26</v>
          </cell>
          <cell r="AC76">
            <v>29</v>
          </cell>
          <cell r="AD76">
            <v>31</v>
          </cell>
        </row>
        <row r="77">
          <cell r="A77">
            <v>44637</v>
          </cell>
          <cell r="B77">
            <v>51</v>
          </cell>
          <cell r="C77">
            <v>8</v>
          </cell>
          <cell r="D77">
            <v>58</v>
          </cell>
          <cell r="F77">
            <v>16</v>
          </cell>
          <cell r="G77">
            <v>4</v>
          </cell>
          <cell r="H77">
            <v>190</v>
          </cell>
          <cell r="I77">
            <v>132</v>
          </cell>
          <cell r="J77">
            <v>22</v>
          </cell>
          <cell r="L77">
            <v>25</v>
          </cell>
          <cell r="N77">
            <v>1</v>
          </cell>
          <cell r="O77">
            <v>51</v>
          </cell>
          <cell r="P77">
            <v>2</v>
          </cell>
          <cell r="Q77">
            <v>217</v>
          </cell>
          <cell r="R77">
            <v>7</v>
          </cell>
          <cell r="T77">
            <v>125</v>
          </cell>
          <cell r="V77">
            <v>7</v>
          </cell>
          <cell r="X77">
            <v>220</v>
          </cell>
          <cell r="Z77">
            <v>33</v>
          </cell>
          <cell r="AC77">
            <v>29</v>
          </cell>
          <cell r="AD77">
            <v>21</v>
          </cell>
        </row>
        <row r="78">
          <cell r="A78">
            <v>44638</v>
          </cell>
          <cell r="B78">
            <v>37</v>
          </cell>
          <cell r="C78">
            <v>1</v>
          </cell>
          <cell r="D78">
            <v>25</v>
          </cell>
          <cell r="F78">
            <v>3</v>
          </cell>
          <cell r="G78">
            <v>15</v>
          </cell>
          <cell r="H78">
            <v>275</v>
          </cell>
          <cell r="I78">
            <v>94</v>
          </cell>
          <cell r="J78">
            <v>18</v>
          </cell>
          <cell r="L78">
            <v>23</v>
          </cell>
          <cell r="N78">
            <v>5</v>
          </cell>
          <cell r="O78">
            <v>63</v>
          </cell>
          <cell r="P78">
            <v>7</v>
          </cell>
          <cell r="Q78">
            <v>269</v>
          </cell>
          <cell r="R78">
            <v>36</v>
          </cell>
          <cell r="T78">
            <v>128</v>
          </cell>
          <cell r="V78">
            <v>6</v>
          </cell>
          <cell r="X78">
            <v>198</v>
          </cell>
          <cell r="Z78">
            <v>11</v>
          </cell>
          <cell r="AC78">
            <v>29</v>
          </cell>
          <cell r="AD78">
            <v>21</v>
          </cell>
        </row>
        <row r="79">
          <cell r="A79">
            <v>44639</v>
          </cell>
          <cell r="B79">
            <v>50</v>
          </cell>
          <cell r="C79">
            <v>1</v>
          </cell>
          <cell r="D79">
            <v>17</v>
          </cell>
          <cell r="F79">
            <v>7</v>
          </cell>
          <cell r="G79">
            <v>16</v>
          </cell>
          <cell r="H79">
            <v>263</v>
          </cell>
          <cell r="I79">
            <v>78</v>
          </cell>
          <cell r="J79">
            <v>24</v>
          </cell>
          <cell r="L79">
            <v>44</v>
          </cell>
          <cell r="N79">
            <v>2</v>
          </cell>
          <cell r="O79">
            <v>23</v>
          </cell>
          <cell r="P79">
            <v>5</v>
          </cell>
          <cell r="Q79">
            <v>555</v>
          </cell>
          <cell r="R79">
            <v>31</v>
          </cell>
          <cell r="T79">
            <v>160</v>
          </cell>
          <cell r="V79">
            <v>8</v>
          </cell>
          <cell r="X79">
            <v>428</v>
          </cell>
          <cell r="Z79">
            <v>15</v>
          </cell>
          <cell r="AC79">
            <v>21</v>
          </cell>
          <cell r="AD79">
            <v>31</v>
          </cell>
        </row>
        <row r="80">
          <cell r="A80">
            <v>44640</v>
          </cell>
          <cell r="B80">
            <v>58</v>
          </cell>
          <cell r="C80">
            <v>4</v>
          </cell>
          <cell r="D80">
            <v>19</v>
          </cell>
          <cell r="F80">
            <v>2</v>
          </cell>
          <cell r="G80">
            <v>10</v>
          </cell>
          <cell r="H80">
            <v>255</v>
          </cell>
          <cell r="I80">
            <v>51</v>
          </cell>
          <cell r="J80">
            <v>21</v>
          </cell>
          <cell r="L80">
            <v>32</v>
          </cell>
          <cell r="N80">
            <v>10</v>
          </cell>
          <cell r="O80">
            <v>41</v>
          </cell>
          <cell r="P80">
            <v>10</v>
          </cell>
          <cell r="Q80">
            <v>407</v>
          </cell>
          <cell r="R80">
            <v>34</v>
          </cell>
          <cell r="T80">
            <v>144</v>
          </cell>
          <cell r="V80">
            <v>7</v>
          </cell>
          <cell r="X80">
            <v>297</v>
          </cell>
          <cell r="Z80">
            <v>14</v>
          </cell>
          <cell r="AC80">
            <v>29</v>
          </cell>
          <cell r="AD80">
            <v>18</v>
          </cell>
        </row>
        <row r="81">
          <cell r="A81">
            <v>44641</v>
          </cell>
          <cell r="B81">
            <v>31</v>
          </cell>
          <cell r="C81">
            <v>6</v>
          </cell>
          <cell r="D81">
            <v>36</v>
          </cell>
          <cell r="F81">
            <v>3</v>
          </cell>
          <cell r="G81">
            <v>12</v>
          </cell>
          <cell r="H81">
            <v>215</v>
          </cell>
          <cell r="I81">
            <v>28</v>
          </cell>
          <cell r="J81">
            <v>18</v>
          </cell>
          <cell r="L81">
            <v>33</v>
          </cell>
          <cell r="N81">
            <v>6</v>
          </cell>
          <cell r="O81">
            <v>55</v>
          </cell>
          <cell r="P81">
            <v>8</v>
          </cell>
          <cell r="Q81">
            <v>223</v>
          </cell>
          <cell r="R81">
            <v>48</v>
          </cell>
          <cell r="T81">
            <v>246</v>
          </cell>
          <cell r="V81">
            <v>4</v>
          </cell>
          <cell r="X81">
            <v>207</v>
          </cell>
          <cell r="Z81">
            <v>7</v>
          </cell>
          <cell r="AC81">
            <v>13</v>
          </cell>
          <cell r="AD81">
            <v>7</v>
          </cell>
        </row>
        <row r="82">
          <cell r="A82">
            <v>44642</v>
          </cell>
          <cell r="B82">
            <v>24</v>
          </cell>
          <cell r="C82">
            <v>4</v>
          </cell>
          <cell r="D82">
            <v>47</v>
          </cell>
          <cell r="F82">
            <v>1</v>
          </cell>
          <cell r="G82">
            <v>11</v>
          </cell>
          <cell r="H82">
            <v>267</v>
          </cell>
          <cell r="I82">
            <v>26</v>
          </cell>
          <cell r="J82">
            <v>7</v>
          </cell>
          <cell r="L82">
            <v>43</v>
          </cell>
          <cell r="N82">
            <v>11</v>
          </cell>
          <cell r="O82">
            <v>41</v>
          </cell>
          <cell r="P82">
            <v>2</v>
          </cell>
          <cell r="Q82">
            <v>192</v>
          </cell>
          <cell r="R82">
            <v>58</v>
          </cell>
          <cell r="T82">
            <v>150</v>
          </cell>
          <cell r="V82">
            <v>0</v>
          </cell>
          <cell r="X82">
            <v>178</v>
          </cell>
          <cell r="Z82">
            <v>3</v>
          </cell>
          <cell r="AC82">
            <v>17</v>
          </cell>
          <cell r="AD82">
            <v>5</v>
          </cell>
        </row>
        <row r="83">
          <cell r="A83">
            <v>44643</v>
          </cell>
          <cell r="B83">
            <v>19</v>
          </cell>
          <cell r="C83">
            <v>4</v>
          </cell>
          <cell r="D83">
            <v>76</v>
          </cell>
          <cell r="G83">
            <v>8</v>
          </cell>
          <cell r="H83">
            <v>230</v>
          </cell>
          <cell r="I83">
            <v>16</v>
          </cell>
          <cell r="J83">
            <v>8</v>
          </cell>
          <cell r="L83">
            <v>29</v>
          </cell>
          <cell r="N83">
            <v>11</v>
          </cell>
          <cell r="O83">
            <v>37</v>
          </cell>
          <cell r="P83">
            <v>7</v>
          </cell>
          <cell r="Q83">
            <v>237</v>
          </cell>
          <cell r="R83">
            <v>98</v>
          </cell>
          <cell r="T83">
            <v>143</v>
          </cell>
          <cell r="V83">
            <v>4</v>
          </cell>
          <cell r="X83">
            <v>182</v>
          </cell>
          <cell r="Z83">
            <v>3</v>
          </cell>
          <cell r="AC83">
            <v>16</v>
          </cell>
          <cell r="AD83">
            <v>4</v>
          </cell>
        </row>
        <row r="84">
          <cell r="A84">
            <v>44644</v>
          </cell>
          <cell r="B84">
            <v>25</v>
          </cell>
          <cell r="C84">
            <v>0</v>
          </cell>
          <cell r="D84">
            <v>64</v>
          </cell>
          <cell r="G84">
            <v>25</v>
          </cell>
          <cell r="H84">
            <v>169</v>
          </cell>
          <cell r="I84">
            <v>10</v>
          </cell>
          <cell r="J84">
            <v>17</v>
          </cell>
          <cell r="L84">
            <v>33</v>
          </cell>
          <cell r="N84">
            <v>21</v>
          </cell>
          <cell r="O84">
            <v>36</v>
          </cell>
          <cell r="P84">
            <v>1</v>
          </cell>
          <cell r="Q84">
            <v>312</v>
          </cell>
          <cell r="R84">
            <v>69</v>
          </cell>
          <cell r="T84">
            <v>186</v>
          </cell>
          <cell r="V84">
            <v>0</v>
          </cell>
          <cell r="X84">
            <v>150</v>
          </cell>
          <cell r="Z84">
            <v>3</v>
          </cell>
          <cell r="AC84">
            <v>18</v>
          </cell>
          <cell r="AD84">
            <v>1</v>
          </cell>
        </row>
        <row r="85">
          <cell r="A85">
            <v>44645</v>
          </cell>
          <cell r="B85">
            <v>13</v>
          </cell>
          <cell r="C85">
            <v>2</v>
          </cell>
          <cell r="D85">
            <v>55</v>
          </cell>
          <cell r="G85">
            <v>16</v>
          </cell>
          <cell r="H85">
            <v>158</v>
          </cell>
          <cell r="I85">
            <v>11</v>
          </cell>
          <cell r="J85">
            <v>10</v>
          </cell>
          <cell r="L85">
            <v>40</v>
          </cell>
          <cell r="N85">
            <v>10</v>
          </cell>
          <cell r="O85">
            <v>20</v>
          </cell>
          <cell r="P85">
            <v>1</v>
          </cell>
          <cell r="Q85">
            <v>203</v>
          </cell>
          <cell r="R85">
            <v>28</v>
          </cell>
          <cell r="T85">
            <v>145</v>
          </cell>
          <cell r="V85">
            <v>1</v>
          </cell>
          <cell r="X85">
            <v>79</v>
          </cell>
          <cell r="Z85">
            <v>3</v>
          </cell>
          <cell r="AC85">
            <v>12</v>
          </cell>
          <cell r="AD85">
            <v>1</v>
          </cell>
        </row>
        <row r="86">
          <cell r="A86">
            <v>44646</v>
          </cell>
          <cell r="B86">
            <v>17</v>
          </cell>
          <cell r="C86">
            <v>1</v>
          </cell>
          <cell r="D86">
            <v>40</v>
          </cell>
          <cell r="G86">
            <v>18</v>
          </cell>
          <cell r="H86">
            <v>265</v>
          </cell>
          <cell r="I86">
            <v>10</v>
          </cell>
          <cell r="J86">
            <v>11</v>
          </cell>
          <cell r="L86">
            <v>15</v>
          </cell>
          <cell r="N86">
            <v>24</v>
          </cell>
          <cell r="O86">
            <v>11</v>
          </cell>
          <cell r="P86">
            <v>4</v>
          </cell>
          <cell r="Q86">
            <v>146</v>
          </cell>
          <cell r="R86">
            <v>12</v>
          </cell>
          <cell r="T86">
            <v>106</v>
          </cell>
          <cell r="V86">
            <v>2</v>
          </cell>
          <cell r="X86">
            <v>68</v>
          </cell>
          <cell r="Z86">
            <v>6</v>
          </cell>
          <cell r="AC86">
            <v>13</v>
          </cell>
          <cell r="AD86">
            <v>5</v>
          </cell>
        </row>
        <row r="87">
          <cell r="A87">
            <v>44647</v>
          </cell>
          <cell r="B87">
            <v>19</v>
          </cell>
          <cell r="C87">
            <v>0</v>
          </cell>
          <cell r="D87">
            <v>14</v>
          </cell>
          <cell r="G87">
            <v>38</v>
          </cell>
          <cell r="H87">
            <v>184</v>
          </cell>
          <cell r="I87">
            <v>22</v>
          </cell>
          <cell r="J87">
            <v>13</v>
          </cell>
          <cell r="L87">
            <v>12</v>
          </cell>
          <cell r="N87">
            <v>14</v>
          </cell>
          <cell r="O87">
            <v>25</v>
          </cell>
          <cell r="P87">
            <v>0</v>
          </cell>
          <cell r="Q87">
            <v>151</v>
          </cell>
          <cell r="R87">
            <v>8</v>
          </cell>
          <cell r="T87">
            <v>125</v>
          </cell>
          <cell r="V87">
            <v>1</v>
          </cell>
          <cell r="X87">
            <v>63</v>
          </cell>
          <cell r="Z87">
            <v>0</v>
          </cell>
          <cell r="AC87">
            <v>12</v>
          </cell>
          <cell r="AD87">
            <v>3</v>
          </cell>
          <cell r="AE87">
            <v>2</v>
          </cell>
        </row>
        <row r="88">
          <cell r="A88">
            <v>44648</v>
          </cell>
          <cell r="B88">
            <v>24</v>
          </cell>
          <cell r="C88">
            <v>0</v>
          </cell>
          <cell r="D88">
            <v>13</v>
          </cell>
          <cell r="G88">
            <v>18</v>
          </cell>
          <cell r="H88">
            <v>125</v>
          </cell>
          <cell r="I88">
            <v>18</v>
          </cell>
          <cell r="J88">
            <v>10</v>
          </cell>
          <cell r="L88">
            <v>11</v>
          </cell>
          <cell r="N88">
            <v>11</v>
          </cell>
          <cell r="O88">
            <v>25</v>
          </cell>
          <cell r="P88">
            <v>5</v>
          </cell>
          <cell r="Q88">
            <v>114</v>
          </cell>
          <cell r="R88">
            <v>6</v>
          </cell>
          <cell r="T88">
            <v>73</v>
          </cell>
          <cell r="V88">
            <v>0</v>
          </cell>
          <cell r="X88">
            <v>50</v>
          </cell>
          <cell r="Y88">
            <v>3</v>
          </cell>
          <cell r="Z88">
            <v>3</v>
          </cell>
          <cell r="AC88">
            <v>6</v>
          </cell>
          <cell r="AD88">
            <v>11</v>
          </cell>
          <cell r="AE88">
            <v>0</v>
          </cell>
        </row>
        <row r="89">
          <cell r="A89">
            <v>44649</v>
          </cell>
          <cell r="B89">
            <v>33</v>
          </cell>
          <cell r="C89">
            <v>2</v>
          </cell>
          <cell r="D89">
            <v>7</v>
          </cell>
          <cell r="F89">
            <v>2</v>
          </cell>
          <cell r="G89">
            <v>34</v>
          </cell>
          <cell r="H89">
            <v>87</v>
          </cell>
          <cell r="I89">
            <v>16</v>
          </cell>
          <cell r="J89">
            <v>13</v>
          </cell>
          <cell r="L89">
            <v>10</v>
          </cell>
          <cell r="M89">
            <v>2</v>
          </cell>
          <cell r="N89">
            <v>36</v>
          </cell>
          <cell r="O89">
            <v>27</v>
          </cell>
          <cell r="P89">
            <v>3</v>
          </cell>
          <cell r="Q89">
            <v>81</v>
          </cell>
          <cell r="R89">
            <v>10</v>
          </cell>
          <cell r="T89">
            <v>55</v>
          </cell>
          <cell r="V89">
            <v>1</v>
          </cell>
          <cell r="X89">
            <v>27</v>
          </cell>
          <cell r="Y89">
            <v>1</v>
          </cell>
          <cell r="AB89">
            <v>2</v>
          </cell>
          <cell r="AC89">
            <v>3</v>
          </cell>
          <cell r="AD89">
            <v>13</v>
          </cell>
          <cell r="AE89">
            <v>1</v>
          </cell>
        </row>
        <row r="90">
          <cell r="A90">
            <v>44650</v>
          </cell>
          <cell r="B90">
            <v>45</v>
          </cell>
          <cell r="D90">
            <v>4</v>
          </cell>
          <cell r="F90">
            <v>1</v>
          </cell>
          <cell r="G90">
            <v>67</v>
          </cell>
          <cell r="H90">
            <v>134</v>
          </cell>
          <cell r="I90">
            <v>19</v>
          </cell>
          <cell r="J90">
            <v>11</v>
          </cell>
          <cell r="L90">
            <v>8</v>
          </cell>
          <cell r="M90">
            <v>4</v>
          </cell>
          <cell r="N90">
            <v>34</v>
          </cell>
          <cell r="O90">
            <v>37</v>
          </cell>
          <cell r="P90">
            <v>5</v>
          </cell>
          <cell r="Q90">
            <v>83</v>
          </cell>
          <cell r="R90">
            <v>12</v>
          </cell>
          <cell r="T90">
            <v>49</v>
          </cell>
          <cell r="V90">
            <v>0</v>
          </cell>
          <cell r="X90">
            <v>27</v>
          </cell>
          <cell r="Y90">
            <v>2</v>
          </cell>
          <cell r="AA90">
            <v>3</v>
          </cell>
          <cell r="AB90">
            <v>24</v>
          </cell>
          <cell r="AC90">
            <v>7</v>
          </cell>
          <cell r="AD90">
            <v>24</v>
          </cell>
          <cell r="AE90">
            <v>5</v>
          </cell>
        </row>
        <row r="91">
          <cell r="A91">
            <v>44651</v>
          </cell>
          <cell r="B91">
            <v>43</v>
          </cell>
          <cell r="D91">
            <v>3</v>
          </cell>
          <cell r="F91">
            <v>2</v>
          </cell>
          <cell r="G91">
            <v>50</v>
          </cell>
          <cell r="H91">
            <v>76</v>
          </cell>
          <cell r="I91">
            <v>18</v>
          </cell>
          <cell r="J91">
            <v>16</v>
          </cell>
          <cell r="L91">
            <v>9</v>
          </cell>
          <cell r="M91">
            <v>4</v>
          </cell>
          <cell r="N91">
            <v>20</v>
          </cell>
          <cell r="O91">
            <v>33</v>
          </cell>
          <cell r="P91">
            <v>5</v>
          </cell>
          <cell r="Q91">
            <v>52</v>
          </cell>
          <cell r="R91">
            <v>19</v>
          </cell>
          <cell r="T91">
            <v>61</v>
          </cell>
          <cell r="V91">
            <v>2</v>
          </cell>
          <cell r="X91">
            <v>31</v>
          </cell>
          <cell r="Y91">
            <v>0</v>
          </cell>
          <cell r="AA91">
            <v>3</v>
          </cell>
          <cell r="AB91">
            <v>13</v>
          </cell>
          <cell r="AC91">
            <v>2</v>
          </cell>
          <cell r="AD91">
            <v>13</v>
          </cell>
          <cell r="AE91">
            <v>5</v>
          </cell>
        </row>
        <row r="92">
          <cell r="A92">
            <v>44652</v>
          </cell>
          <cell r="B92">
            <v>65</v>
          </cell>
          <cell r="D92">
            <v>0</v>
          </cell>
          <cell r="F92">
            <v>2</v>
          </cell>
          <cell r="G92">
            <v>56</v>
          </cell>
          <cell r="H92">
            <v>71</v>
          </cell>
          <cell r="I92">
            <v>22</v>
          </cell>
          <cell r="J92">
            <v>6</v>
          </cell>
          <cell r="L92">
            <v>9</v>
          </cell>
          <cell r="M92">
            <v>13</v>
          </cell>
          <cell r="N92">
            <v>18</v>
          </cell>
          <cell r="O92">
            <v>50</v>
          </cell>
          <cell r="P92">
            <v>3</v>
          </cell>
          <cell r="Q92">
            <v>68</v>
          </cell>
          <cell r="R92">
            <v>44</v>
          </cell>
          <cell r="T92">
            <v>56</v>
          </cell>
          <cell r="W92">
            <v>2</v>
          </cell>
          <cell r="X92">
            <v>31</v>
          </cell>
          <cell r="Y92">
            <v>0</v>
          </cell>
          <cell r="AA92">
            <v>1</v>
          </cell>
          <cell r="AB92">
            <v>9</v>
          </cell>
          <cell r="AC92">
            <v>6</v>
          </cell>
          <cell r="AD92">
            <v>25</v>
          </cell>
          <cell r="AE92">
            <v>11</v>
          </cell>
        </row>
        <row r="93">
          <cell r="A93">
            <v>44653</v>
          </cell>
          <cell r="B93">
            <v>47</v>
          </cell>
          <cell r="D93">
            <v>4</v>
          </cell>
          <cell r="F93">
            <v>1</v>
          </cell>
          <cell r="G93">
            <v>95</v>
          </cell>
          <cell r="H93">
            <v>45</v>
          </cell>
          <cell r="I93">
            <v>9</v>
          </cell>
          <cell r="J93">
            <v>4</v>
          </cell>
          <cell r="L93">
            <v>7</v>
          </cell>
          <cell r="M93">
            <v>9</v>
          </cell>
          <cell r="N93">
            <v>20</v>
          </cell>
          <cell r="O93">
            <v>17</v>
          </cell>
          <cell r="P93">
            <v>2</v>
          </cell>
          <cell r="Q93">
            <v>36</v>
          </cell>
          <cell r="R93">
            <v>39</v>
          </cell>
          <cell r="T93">
            <v>45</v>
          </cell>
          <cell r="W93">
            <v>0</v>
          </cell>
          <cell r="X93">
            <v>10</v>
          </cell>
          <cell r="Y93">
            <v>1</v>
          </cell>
          <cell r="Z93">
            <v>3</v>
          </cell>
          <cell r="AA93">
            <v>10</v>
          </cell>
          <cell r="AB93">
            <v>5</v>
          </cell>
          <cell r="AC93">
            <v>6</v>
          </cell>
          <cell r="AD93">
            <v>14</v>
          </cell>
          <cell r="AE93">
            <v>18</v>
          </cell>
        </row>
        <row r="94">
          <cell r="A94">
            <v>44654</v>
          </cell>
          <cell r="B94">
            <v>59</v>
          </cell>
          <cell r="C94">
            <v>1</v>
          </cell>
          <cell r="D94">
            <v>2</v>
          </cell>
          <cell r="F94">
            <v>1</v>
          </cell>
          <cell r="G94">
            <v>70</v>
          </cell>
          <cell r="H94">
            <v>31</v>
          </cell>
          <cell r="I94">
            <v>12</v>
          </cell>
          <cell r="J94">
            <v>0</v>
          </cell>
          <cell r="L94">
            <v>3</v>
          </cell>
          <cell r="M94">
            <v>26</v>
          </cell>
          <cell r="N94">
            <v>22</v>
          </cell>
          <cell r="O94">
            <v>24</v>
          </cell>
          <cell r="P94">
            <v>3</v>
          </cell>
          <cell r="Q94">
            <v>111</v>
          </cell>
          <cell r="R94">
            <v>43</v>
          </cell>
          <cell r="T94">
            <v>39</v>
          </cell>
          <cell r="W94">
            <v>7</v>
          </cell>
          <cell r="X94">
            <v>17</v>
          </cell>
          <cell r="Y94">
            <v>5</v>
          </cell>
          <cell r="Z94">
            <v>1</v>
          </cell>
          <cell r="AA94">
            <v>16</v>
          </cell>
          <cell r="AB94">
            <v>6</v>
          </cell>
          <cell r="AC94">
            <v>3</v>
          </cell>
          <cell r="AD94">
            <v>16</v>
          </cell>
          <cell r="AE94">
            <v>9</v>
          </cell>
        </row>
        <row r="95">
          <cell r="A95">
            <v>44655</v>
          </cell>
          <cell r="B95">
            <v>76</v>
          </cell>
          <cell r="C95">
            <v>9</v>
          </cell>
          <cell r="D95">
            <v>5</v>
          </cell>
          <cell r="F95">
            <v>1</v>
          </cell>
          <cell r="G95">
            <v>49</v>
          </cell>
          <cell r="H95">
            <v>13</v>
          </cell>
          <cell r="I95">
            <v>4</v>
          </cell>
          <cell r="J95">
            <v>2</v>
          </cell>
          <cell r="L95">
            <v>4</v>
          </cell>
          <cell r="M95">
            <v>2</v>
          </cell>
          <cell r="N95">
            <v>31</v>
          </cell>
          <cell r="O95">
            <v>27</v>
          </cell>
          <cell r="P95">
            <v>1</v>
          </cell>
          <cell r="Q95">
            <v>109</v>
          </cell>
          <cell r="R95">
            <v>41</v>
          </cell>
          <cell r="T95">
            <v>57</v>
          </cell>
          <cell r="V95">
            <v>2</v>
          </cell>
          <cell r="W95">
            <v>2</v>
          </cell>
          <cell r="X95">
            <v>28</v>
          </cell>
          <cell r="Y95">
            <v>6</v>
          </cell>
          <cell r="Z95">
            <v>0</v>
          </cell>
          <cell r="AA95">
            <v>16</v>
          </cell>
          <cell r="AB95">
            <v>9</v>
          </cell>
          <cell r="AC95">
            <v>16</v>
          </cell>
          <cell r="AD95">
            <v>36</v>
          </cell>
          <cell r="AE95">
            <v>16</v>
          </cell>
        </row>
        <row r="96">
          <cell r="A96">
            <v>44656</v>
          </cell>
          <cell r="B96">
            <v>76</v>
          </cell>
          <cell r="C96">
            <v>5</v>
          </cell>
          <cell r="D96">
            <v>6</v>
          </cell>
          <cell r="G96">
            <v>56</v>
          </cell>
          <cell r="H96">
            <v>22</v>
          </cell>
          <cell r="I96">
            <v>8</v>
          </cell>
          <cell r="J96">
            <v>2</v>
          </cell>
          <cell r="L96">
            <v>1</v>
          </cell>
          <cell r="M96">
            <v>31</v>
          </cell>
          <cell r="N96">
            <v>33</v>
          </cell>
          <cell r="O96">
            <v>11</v>
          </cell>
          <cell r="P96">
            <v>2</v>
          </cell>
          <cell r="Q96">
            <v>109</v>
          </cell>
          <cell r="R96">
            <v>35</v>
          </cell>
          <cell r="T96">
            <v>49</v>
          </cell>
          <cell r="V96">
            <v>0</v>
          </cell>
          <cell r="W96">
            <v>2</v>
          </cell>
          <cell r="X96">
            <v>49</v>
          </cell>
          <cell r="Y96">
            <v>8</v>
          </cell>
          <cell r="Z96">
            <v>2</v>
          </cell>
          <cell r="AA96">
            <v>12</v>
          </cell>
          <cell r="AB96">
            <v>7</v>
          </cell>
          <cell r="AC96">
            <v>5</v>
          </cell>
          <cell r="AD96">
            <v>63</v>
          </cell>
          <cell r="AE96">
            <v>6</v>
          </cell>
        </row>
        <row r="97">
          <cell r="A97">
            <v>44657</v>
          </cell>
          <cell r="B97">
            <v>78</v>
          </cell>
          <cell r="C97">
            <v>3</v>
          </cell>
          <cell r="D97">
            <v>4</v>
          </cell>
          <cell r="G97">
            <v>60</v>
          </cell>
          <cell r="H97">
            <v>18</v>
          </cell>
          <cell r="I97">
            <v>4</v>
          </cell>
          <cell r="J97">
            <v>8</v>
          </cell>
          <cell r="M97">
            <v>11</v>
          </cell>
          <cell r="N97">
            <v>36</v>
          </cell>
          <cell r="O97">
            <v>20</v>
          </cell>
          <cell r="P97">
            <v>0</v>
          </cell>
          <cell r="Q97">
            <v>142</v>
          </cell>
          <cell r="R97">
            <v>34</v>
          </cell>
          <cell r="T97">
            <v>22</v>
          </cell>
          <cell r="V97">
            <v>1</v>
          </cell>
          <cell r="W97">
            <v>1</v>
          </cell>
          <cell r="X97">
            <v>28</v>
          </cell>
          <cell r="Y97">
            <v>8</v>
          </cell>
          <cell r="Z97">
            <v>0</v>
          </cell>
          <cell r="AA97">
            <v>8</v>
          </cell>
          <cell r="AB97">
            <v>4</v>
          </cell>
          <cell r="AC97">
            <v>6</v>
          </cell>
          <cell r="AD97">
            <v>47</v>
          </cell>
          <cell r="AE97">
            <v>4</v>
          </cell>
        </row>
        <row r="98">
          <cell r="A98">
            <v>44658</v>
          </cell>
          <cell r="B98">
            <v>75</v>
          </cell>
          <cell r="C98">
            <v>9</v>
          </cell>
          <cell r="D98">
            <v>0</v>
          </cell>
          <cell r="G98">
            <v>69</v>
          </cell>
          <cell r="H98">
            <v>11</v>
          </cell>
          <cell r="I98">
            <v>9</v>
          </cell>
          <cell r="J98">
            <v>11</v>
          </cell>
          <cell r="M98">
            <v>5</v>
          </cell>
          <cell r="N98">
            <v>19</v>
          </cell>
          <cell r="O98">
            <v>6</v>
          </cell>
          <cell r="P98">
            <v>1</v>
          </cell>
          <cell r="Q98">
            <v>163</v>
          </cell>
          <cell r="R98">
            <v>36</v>
          </cell>
          <cell r="T98">
            <v>37</v>
          </cell>
          <cell r="V98">
            <v>2</v>
          </cell>
          <cell r="W98">
            <v>2</v>
          </cell>
          <cell r="X98">
            <v>49</v>
          </cell>
          <cell r="Y98">
            <v>8</v>
          </cell>
          <cell r="Z98">
            <v>14</v>
          </cell>
          <cell r="AA98">
            <v>4</v>
          </cell>
          <cell r="AB98">
            <v>1</v>
          </cell>
          <cell r="AC98">
            <v>9</v>
          </cell>
          <cell r="AD98">
            <v>42</v>
          </cell>
          <cell r="AE98">
            <v>3</v>
          </cell>
        </row>
        <row r="99">
          <cell r="A99">
            <v>44659</v>
          </cell>
          <cell r="B99">
            <v>78</v>
          </cell>
          <cell r="C99">
            <v>6</v>
          </cell>
          <cell r="D99">
            <v>1</v>
          </cell>
          <cell r="F99">
            <v>1</v>
          </cell>
          <cell r="G99">
            <v>70</v>
          </cell>
          <cell r="H99">
            <v>10</v>
          </cell>
          <cell r="I99">
            <v>9</v>
          </cell>
          <cell r="J99">
            <v>4</v>
          </cell>
          <cell r="M99">
            <v>3</v>
          </cell>
          <cell r="N99">
            <v>18</v>
          </cell>
          <cell r="O99">
            <v>11</v>
          </cell>
          <cell r="Q99">
            <v>109</v>
          </cell>
          <cell r="R99">
            <v>31</v>
          </cell>
          <cell r="T99">
            <v>25</v>
          </cell>
          <cell r="V99">
            <v>1</v>
          </cell>
          <cell r="W99">
            <v>0</v>
          </cell>
          <cell r="X99">
            <v>42</v>
          </cell>
          <cell r="Y99">
            <v>11</v>
          </cell>
          <cell r="Z99">
            <v>6</v>
          </cell>
          <cell r="AA99">
            <v>2</v>
          </cell>
          <cell r="AB99">
            <v>2</v>
          </cell>
          <cell r="AC99">
            <v>3</v>
          </cell>
          <cell r="AD99">
            <v>29</v>
          </cell>
          <cell r="AE99">
            <v>2</v>
          </cell>
        </row>
        <row r="100">
          <cell r="A100">
            <v>44660</v>
          </cell>
          <cell r="B100">
            <v>70</v>
          </cell>
          <cell r="C100">
            <v>3</v>
          </cell>
          <cell r="D100">
            <v>1</v>
          </cell>
          <cell r="G100">
            <v>44</v>
          </cell>
          <cell r="H100">
            <v>8</v>
          </cell>
          <cell r="I100">
            <v>22</v>
          </cell>
          <cell r="J100">
            <v>7</v>
          </cell>
          <cell r="M100">
            <v>5</v>
          </cell>
          <cell r="N100">
            <v>5</v>
          </cell>
          <cell r="O100">
            <v>2</v>
          </cell>
          <cell r="Q100">
            <v>87</v>
          </cell>
          <cell r="R100">
            <v>29</v>
          </cell>
          <cell r="T100">
            <v>12</v>
          </cell>
          <cell r="W100">
            <v>0</v>
          </cell>
          <cell r="X100">
            <v>20</v>
          </cell>
          <cell r="Y100">
            <v>7</v>
          </cell>
          <cell r="Z100">
            <v>2</v>
          </cell>
          <cell r="AA100">
            <v>3</v>
          </cell>
          <cell r="AB100">
            <v>5</v>
          </cell>
          <cell r="AC100">
            <v>3</v>
          </cell>
          <cell r="AD100">
            <v>38</v>
          </cell>
          <cell r="AE100">
            <v>17</v>
          </cell>
        </row>
        <row r="101">
          <cell r="A101">
            <v>44661</v>
          </cell>
          <cell r="B101">
            <v>53</v>
          </cell>
          <cell r="C101">
            <v>0</v>
          </cell>
          <cell r="D101">
            <v>0</v>
          </cell>
          <cell r="G101">
            <v>68</v>
          </cell>
          <cell r="H101">
            <v>16</v>
          </cell>
          <cell r="I101">
            <v>37</v>
          </cell>
          <cell r="J101">
            <v>2</v>
          </cell>
          <cell r="M101">
            <v>5</v>
          </cell>
          <cell r="N101">
            <v>4</v>
          </cell>
          <cell r="O101">
            <v>3</v>
          </cell>
          <cell r="Q101">
            <v>100</v>
          </cell>
          <cell r="R101">
            <v>20</v>
          </cell>
          <cell r="T101">
            <v>12</v>
          </cell>
          <cell r="W101">
            <v>0</v>
          </cell>
          <cell r="X101">
            <v>15</v>
          </cell>
          <cell r="Y101">
            <v>4</v>
          </cell>
          <cell r="Z101">
            <v>7</v>
          </cell>
          <cell r="AA101">
            <v>1</v>
          </cell>
          <cell r="AB101">
            <v>3</v>
          </cell>
          <cell r="AC101">
            <v>9</v>
          </cell>
          <cell r="AD101">
            <v>34</v>
          </cell>
          <cell r="AE101">
            <v>33</v>
          </cell>
        </row>
        <row r="102">
          <cell r="A102">
            <v>44662</v>
          </cell>
          <cell r="B102">
            <v>75</v>
          </cell>
          <cell r="C102">
            <v>4</v>
          </cell>
          <cell r="D102">
            <v>1</v>
          </cell>
          <cell r="G102">
            <v>61</v>
          </cell>
          <cell r="H102">
            <v>26</v>
          </cell>
          <cell r="I102">
            <v>29</v>
          </cell>
          <cell r="J102">
            <v>6</v>
          </cell>
          <cell r="M102">
            <v>3</v>
          </cell>
          <cell r="N102">
            <v>14</v>
          </cell>
          <cell r="O102">
            <v>2</v>
          </cell>
          <cell r="Q102">
            <v>44</v>
          </cell>
          <cell r="R102">
            <v>20</v>
          </cell>
          <cell r="T102">
            <v>25</v>
          </cell>
          <cell r="V102">
            <v>1</v>
          </cell>
          <cell r="W102">
            <v>3</v>
          </cell>
          <cell r="X102">
            <v>16</v>
          </cell>
          <cell r="Y102">
            <v>3</v>
          </cell>
          <cell r="Z102">
            <v>0</v>
          </cell>
          <cell r="AA102">
            <v>2</v>
          </cell>
          <cell r="AC102">
            <v>5</v>
          </cell>
          <cell r="AD102">
            <v>25</v>
          </cell>
          <cell r="AE102">
            <v>37</v>
          </cell>
        </row>
        <row r="103">
          <cell r="A103">
            <v>44663</v>
          </cell>
          <cell r="B103">
            <v>74</v>
          </cell>
          <cell r="C103">
            <v>0</v>
          </cell>
          <cell r="D103">
            <v>2</v>
          </cell>
          <cell r="G103">
            <v>61</v>
          </cell>
          <cell r="H103">
            <v>12</v>
          </cell>
          <cell r="I103">
            <v>22</v>
          </cell>
          <cell r="J103">
            <v>71</v>
          </cell>
          <cell r="M103">
            <v>1</v>
          </cell>
          <cell r="N103">
            <v>14</v>
          </cell>
          <cell r="O103">
            <v>4</v>
          </cell>
          <cell r="P103">
            <v>2</v>
          </cell>
          <cell r="Q103">
            <v>38</v>
          </cell>
          <cell r="R103">
            <v>17</v>
          </cell>
          <cell r="T103">
            <v>32</v>
          </cell>
          <cell r="V103">
            <v>1</v>
          </cell>
          <cell r="W103">
            <v>11</v>
          </cell>
          <cell r="X103">
            <v>21</v>
          </cell>
          <cell r="Y103">
            <v>4</v>
          </cell>
          <cell r="Z103">
            <v>2</v>
          </cell>
          <cell r="AA103">
            <v>3</v>
          </cell>
          <cell r="AC103">
            <v>11</v>
          </cell>
          <cell r="AD103">
            <v>25</v>
          </cell>
          <cell r="AE103">
            <v>45</v>
          </cell>
        </row>
        <row r="104">
          <cell r="A104">
            <v>44664</v>
          </cell>
          <cell r="B104">
            <v>53</v>
          </cell>
          <cell r="C104">
            <v>1</v>
          </cell>
          <cell r="D104">
            <v>0</v>
          </cell>
          <cell r="F104">
            <v>1</v>
          </cell>
          <cell r="G104">
            <v>50</v>
          </cell>
          <cell r="H104">
            <v>18</v>
          </cell>
          <cell r="I104">
            <v>66</v>
          </cell>
          <cell r="J104">
            <v>129</v>
          </cell>
          <cell r="M104">
            <v>0</v>
          </cell>
          <cell r="N104">
            <v>46</v>
          </cell>
          <cell r="O104">
            <v>9</v>
          </cell>
          <cell r="P104">
            <v>0</v>
          </cell>
          <cell r="Q104">
            <v>31</v>
          </cell>
          <cell r="R104">
            <v>21</v>
          </cell>
          <cell r="T104">
            <v>33</v>
          </cell>
          <cell r="V104">
            <v>3</v>
          </cell>
          <cell r="W104">
            <v>14</v>
          </cell>
          <cell r="X104">
            <v>29</v>
          </cell>
          <cell r="Y104">
            <v>8</v>
          </cell>
          <cell r="Z104">
            <v>4</v>
          </cell>
          <cell r="AA104">
            <v>0</v>
          </cell>
          <cell r="AC104">
            <v>10</v>
          </cell>
          <cell r="AD104">
            <v>15</v>
          </cell>
          <cell r="AE104">
            <v>42</v>
          </cell>
        </row>
        <row r="105">
          <cell r="A105">
            <v>44665</v>
          </cell>
          <cell r="B105">
            <v>50</v>
          </cell>
          <cell r="C105">
            <v>2</v>
          </cell>
          <cell r="D105">
            <v>2</v>
          </cell>
          <cell r="F105">
            <v>1</v>
          </cell>
          <cell r="G105">
            <v>47</v>
          </cell>
          <cell r="H105">
            <v>16</v>
          </cell>
          <cell r="I105">
            <v>40</v>
          </cell>
          <cell r="J105">
            <v>136</v>
          </cell>
          <cell r="M105">
            <v>1</v>
          </cell>
          <cell r="N105">
            <v>26</v>
          </cell>
          <cell r="O105">
            <v>10</v>
          </cell>
          <cell r="P105">
            <v>0</v>
          </cell>
          <cell r="Q105">
            <v>23</v>
          </cell>
          <cell r="R105">
            <v>19</v>
          </cell>
          <cell r="T105">
            <v>21</v>
          </cell>
          <cell r="V105">
            <v>4</v>
          </cell>
          <cell r="W105">
            <v>10</v>
          </cell>
          <cell r="X105">
            <v>28</v>
          </cell>
          <cell r="Y105">
            <v>53</v>
          </cell>
          <cell r="Z105">
            <v>7</v>
          </cell>
          <cell r="AA105">
            <v>1</v>
          </cell>
          <cell r="AC105">
            <v>22</v>
          </cell>
          <cell r="AD105">
            <v>12</v>
          </cell>
          <cell r="AE105">
            <v>30</v>
          </cell>
        </row>
        <row r="106">
          <cell r="A106">
            <v>44666</v>
          </cell>
          <cell r="B106">
            <v>56</v>
          </cell>
          <cell r="C106">
            <v>0</v>
          </cell>
          <cell r="G106">
            <v>44</v>
          </cell>
          <cell r="H106">
            <v>69</v>
          </cell>
          <cell r="I106">
            <v>37</v>
          </cell>
          <cell r="J106">
            <v>55</v>
          </cell>
          <cell r="M106">
            <v>2</v>
          </cell>
          <cell r="N106">
            <v>24</v>
          </cell>
          <cell r="O106">
            <v>34</v>
          </cell>
          <cell r="P106">
            <v>1</v>
          </cell>
          <cell r="Q106">
            <v>17</v>
          </cell>
          <cell r="R106">
            <v>8</v>
          </cell>
          <cell r="T106">
            <v>28</v>
          </cell>
          <cell r="V106">
            <v>2</v>
          </cell>
          <cell r="W106">
            <v>4</v>
          </cell>
          <cell r="X106">
            <v>6</v>
          </cell>
          <cell r="Y106">
            <v>24</v>
          </cell>
          <cell r="Z106">
            <v>2</v>
          </cell>
          <cell r="AB106">
            <v>3</v>
          </cell>
          <cell r="AC106">
            <v>56</v>
          </cell>
          <cell r="AD106">
            <v>12</v>
          </cell>
          <cell r="AE106">
            <v>41</v>
          </cell>
        </row>
        <row r="107">
          <cell r="A107">
            <v>44667</v>
          </cell>
          <cell r="B107">
            <v>87</v>
          </cell>
          <cell r="C107">
            <v>0</v>
          </cell>
          <cell r="G107">
            <v>58</v>
          </cell>
          <cell r="H107">
            <v>22</v>
          </cell>
          <cell r="I107">
            <v>36</v>
          </cell>
          <cell r="J107">
            <v>17</v>
          </cell>
          <cell r="N107">
            <v>21</v>
          </cell>
          <cell r="O107">
            <v>60</v>
          </cell>
          <cell r="P107">
            <v>1</v>
          </cell>
          <cell r="Q107">
            <v>5</v>
          </cell>
          <cell r="R107">
            <v>3</v>
          </cell>
          <cell r="T107">
            <v>8</v>
          </cell>
          <cell r="V107">
            <v>2</v>
          </cell>
          <cell r="W107">
            <v>10</v>
          </cell>
          <cell r="X107">
            <v>23</v>
          </cell>
          <cell r="Y107">
            <v>44</v>
          </cell>
          <cell r="Z107">
            <v>5</v>
          </cell>
          <cell r="AC107">
            <v>51</v>
          </cell>
          <cell r="AD107">
            <v>28</v>
          </cell>
          <cell r="AE107">
            <v>12</v>
          </cell>
        </row>
        <row r="108">
          <cell r="A108">
            <v>44668</v>
          </cell>
          <cell r="B108">
            <v>95</v>
          </cell>
          <cell r="C108">
            <v>3</v>
          </cell>
          <cell r="G108">
            <v>58</v>
          </cell>
          <cell r="H108">
            <v>18</v>
          </cell>
          <cell r="I108">
            <v>30</v>
          </cell>
          <cell r="J108">
            <v>16</v>
          </cell>
          <cell r="N108">
            <v>10</v>
          </cell>
          <cell r="O108">
            <v>54</v>
          </cell>
          <cell r="P108">
            <v>0</v>
          </cell>
          <cell r="Q108">
            <v>0</v>
          </cell>
          <cell r="R108">
            <v>44</v>
          </cell>
          <cell r="T108">
            <v>9</v>
          </cell>
          <cell r="W108">
            <v>15</v>
          </cell>
          <cell r="X108">
            <v>30</v>
          </cell>
          <cell r="Y108">
            <v>59</v>
          </cell>
          <cell r="Z108">
            <v>2</v>
          </cell>
          <cell r="AC108">
            <v>31</v>
          </cell>
          <cell r="AD108">
            <v>68</v>
          </cell>
          <cell r="AE108">
            <v>11</v>
          </cell>
        </row>
        <row r="109">
          <cell r="A109">
            <v>44669</v>
          </cell>
          <cell r="B109">
            <v>133</v>
          </cell>
          <cell r="C109">
            <v>2</v>
          </cell>
          <cell r="G109">
            <v>61</v>
          </cell>
          <cell r="H109">
            <v>6</v>
          </cell>
          <cell r="I109">
            <v>14</v>
          </cell>
          <cell r="J109">
            <v>15</v>
          </cell>
          <cell r="L109">
            <v>1</v>
          </cell>
          <cell r="N109">
            <v>24</v>
          </cell>
          <cell r="O109">
            <v>95</v>
          </cell>
          <cell r="P109">
            <v>1</v>
          </cell>
          <cell r="Q109">
            <v>29</v>
          </cell>
          <cell r="R109">
            <v>51</v>
          </cell>
          <cell r="T109">
            <v>17</v>
          </cell>
          <cell r="W109">
            <v>2</v>
          </cell>
          <cell r="X109">
            <v>17</v>
          </cell>
          <cell r="Y109">
            <v>33</v>
          </cell>
          <cell r="Z109">
            <v>5</v>
          </cell>
          <cell r="AB109">
            <v>1</v>
          </cell>
          <cell r="AC109">
            <v>14</v>
          </cell>
          <cell r="AD109">
            <v>46</v>
          </cell>
          <cell r="AE109">
            <v>14</v>
          </cell>
        </row>
        <row r="110">
          <cell r="A110">
            <v>44670</v>
          </cell>
          <cell r="B110">
            <v>100</v>
          </cell>
          <cell r="C110">
            <v>2</v>
          </cell>
          <cell r="G110">
            <v>48</v>
          </cell>
          <cell r="H110">
            <v>0</v>
          </cell>
          <cell r="I110">
            <v>17</v>
          </cell>
          <cell r="J110">
            <v>6</v>
          </cell>
          <cell r="N110">
            <v>16</v>
          </cell>
          <cell r="O110">
            <v>73</v>
          </cell>
          <cell r="P110">
            <v>3</v>
          </cell>
          <cell r="Q110">
            <v>62</v>
          </cell>
          <cell r="R110">
            <v>53</v>
          </cell>
          <cell r="T110">
            <v>9</v>
          </cell>
          <cell r="W110">
            <v>2</v>
          </cell>
          <cell r="X110">
            <v>25</v>
          </cell>
          <cell r="Y110">
            <v>29</v>
          </cell>
          <cell r="Z110">
            <v>4</v>
          </cell>
          <cell r="AC110">
            <v>5</v>
          </cell>
          <cell r="AD110">
            <v>51</v>
          </cell>
          <cell r="AE110">
            <v>4</v>
          </cell>
        </row>
        <row r="111">
          <cell r="A111">
            <v>44671</v>
          </cell>
          <cell r="B111">
            <v>119</v>
          </cell>
          <cell r="C111">
            <v>1</v>
          </cell>
          <cell r="G111">
            <v>30</v>
          </cell>
          <cell r="H111">
            <v>1</v>
          </cell>
          <cell r="I111">
            <v>10</v>
          </cell>
          <cell r="J111">
            <v>6</v>
          </cell>
          <cell r="N111">
            <v>26</v>
          </cell>
          <cell r="O111">
            <v>65</v>
          </cell>
          <cell r="P111">
            <v>3</v>
          </cell>
          <cell r="Q111">
            <v>94</v>
          </cell>
          <cell r="R111">
            <v>45</v>
          </cell>
          <cell r="T111">
            <v>6</v>
          </cell>
          <cell r="V111">
            <v>1</v>
          </cell>
          <cell r="W111">
            <v>13</v>
          </cell>
          <cell r="X111">
            <v>20</v>
          </cell>
          <cell r="Y111">
            <v>31</v>
          </cell>
          <cell r="Z111">
            <v>0</v>
          </cell>
          <cell r="AA111">
            <v>8</v>
          </cell>
          <cell r="AB111">
            <v>1</v>
          </cell>
          <cell r="AC111">
            <v>7</v>
          </cell>
          <cell r="AD111">
            <v>32</v>
          </cell>
          <cell r="AE111">
            <v>3</v>
          </cell>
        </row>
        <row r="112">
          <cell r="A112">
            <v>44672</v>
          </cell>
          <cell r="B112">
            <v>131</v>
          </cell>
          <cell r="C112">
            <v>1</v>
          </cell>
          <cell r="G112">
            <v>28</v>
          </cell>
          <cell r="H112">
            <v>1</v>
          </cell>
          <cell r="I112">
            <v>4</v>
          </cell>
          <cell r="J112">
            <v>6</v>
          </cell>
          <cell r="M112">
            <v>3</v>
          </cell>
          <cell r="N112">
            <v>17</v>
          </cell>
          <cell r="O112">
            <v>90</v>
          </cell>
          <cell r="P112">
            <v>3</v>
          </cell>
          <cell r="Q112">
            <v>78</v>
          </cell>
          <cell r="R112">
            <v>42</v>
          </cell>
          <cell r="T112">
            <v>4</v>
          </cell>
          <cell r="W112">
            <v>13</v>
          </cell>
          <cell r="X112">
            <v>23</v>
          </cell>
          <cell r="Y112">
            <v>19</v>
          </cell>
          <cell r="Z112">
            <v>2</v>
          </cell>
          <cell r="AA112">
            <v>0</v>
          </cell>
          <cell r="AC112">
            <v>11</v>
          </cell>
          <cell r="AD112">
            <v>56</v>
          </cell>
          <cell r="AE112">
            <v>0</v>
          </cell>
        </row>
        <row r="113">
          <cell r="A113">
            <v>44673</v>
          </cell>
          <cell r="B113">
            <v>131</v>
          </cell>
          <cell r="C113">
            <v>6</v>
          </cell>
          <cell r="G113">
            <v>17</v>
          </cell>
          <cell r="H113">
            <v>2</v>
          </cell>
          <cell r="I113">
            <v>5</v>
          </cell>
          <cell r="J113">
            <v>2</v>
          </cell>
          <cell r="L113">
            <v>2</v>
          </cell>
          <cell r="N113">
            <v>41</v>
          </cell>
          <cell r="O113">
            <v>45</v>
          </cell>
          <cell r="P113">
            <v>9</v>
          </cell>
          <cell r="Q113">
            <v>176</v>
          </cell>
          <cell r="R113">
            <v>45</v>
          </cell>
          <cell r="T113">
            <v>2</v>
          </cell>
          <cell r="W113">
            <v>7</v>
          </cell>
          <cell r="X113">
            <v>23</v>
          </cell>
          <cell r="Y113">
            <v>10</v>
          </cell>
          <cell r="AC113">
            <v>14</v>
          </cell>
          <cell r="AD113">
            <v>61</v>
          </cell>
          <cell r="AE113">
            <v>3</v>
          </cell>
        </row>
        <row r="114">
          <cell r="A114">
            <v>44674</v>
          </cell>
          <cell r="B114">
            <v>124</v>
          </cell>
          <cell r="C114">
            <v>22</v>
          </cell>
          <cell r="G114">
            <v>15</v>
          </cell>
          <cell r="I114">
            <v>2</v>
          </cell>
          <cell r="J114">
            <v>2</v>
          </cell>
          <cell r="N114">
            <v>32</v>
          </cell>
          <cell r="O114">
            <v>42</v>
          </cell>
          <cell r="P114">
            <v>4</v>
          </cell>
          <cell r="Q114">
            <v>117</v>
          </cell>
          <cell r="R114">
            <v>37</v>
          </cell>
          <cell r="T114">
            <v>5</v>
          </cell>
          <cell r="V114">
            <v>5</v>
          </cell>
          <cell r="W114">
            <v>0</v>
          </cell>
          <cell r="X114">
            <v>48</v>
          </cell>
          <cell r="Y114">
            <v>5</v>
          </cell>
          <cell r="AC114">
            <v>8</v>
          </cell>
          <cell r="AD114">
            <v>34</v>
          </cell>
          <cell r="AE114">
            <v>4</v>
          </cell>
        </row>
        <row r="115">
          <cell r="A115">
            <v>44675</v>
          </cell>
          <cell r="B115">
            <v>96</v>
          </cell>
          <cell r="C115">
            <v>19</v>
          </cell>
          <cell r="D115">
            <v>1</v>
          </cell>
          <cell r="G115">
            <v>29</v>
          </cell>
          <cell r="H115">
            <v>0</v>
          </cell>
          <cell r="I115">
            <v>3</v>
          </cell>
          <cell r="J115">
            <v>1</v>
          </cell>
          <cell r="N115">
            <v>23</v>
          </cell>
          <cell r="O115">
            <v>38</v>
          </cell>
          <cell r="P115">
            <v>12</v>
          </cell>
          <cell r="Q115">
            <v>74</v>
          </cell>
          <cell r="R115">
            <v>130</v>
          </cell>
          <cell r="T115">
            <v>3</v>
          </cell>
          <cell r="V115">
            <v>9</v>
          </cell>
          <cell r="W115">
            <v>4</v>
          </cell>
          <cell r="X115">
            <v>51</v>
          </cell>
          <cell r="Y115">
            <v>7</v>
          </cell>
          <cell r="AA115">
            <v>1</v>
          </cell>
          <cell r="AC115">
            <v>14</v>
          </cell>
          <cell r="AD115">
            <v>20</v>
          </cell>
          <cell r="AE115">
            <v>2</v>
          </cell>
        </row>
        <row r="116">
          <cell r="A116">
            <v>44676</v>
          </cell>
          <cell r="B116">
            <v>114</v>
          </cell>
          <cell r="C116">
            <v>32</v>
          </cell>
          <cell r="D116">
            <v>2</v>
          </cell>
          <cell r="G116">
            <v>10</v>
          </cell>
          <cell r="I116">
            <v>1</v>
          </cell>
          <cell r="J116">
            <v>2</v>
          </cell>
          <cell r="N116">
            <v>17</v>
          </cell>
          <cell r="O116">
            <v>36</v>
          </cell>
          <cell r="P116">
            <v>2</v>
          </cell>
          <cell r="Q116">
            <v>51</v>
          </cell>
          <cell r="R116">
            <v>137</v>
          </cell>
          <cell r="T116">
            <v>64</v>
          </cell>
          <cell r="V116">
            <v>6</v>
          </cell>
          <cell r="W116">
            <v>2</v>
          </cell>
          <cell r="X116">
            <v>64</v>
          </cell>
          <cell r="Y116">
            <v>1</v>
          </cell>
          <cell r="AA116">
            <v>3</v>
          </cell>
          <cell r="AC116">
            <v>6</v>
          </cell>
          <cell r="AD116">
            <v>38</v>
          </cell>
          <cell r="AE116">
            <v>3</v>
          </cell>
        </row>
        <row r="117">
          <cell r="A117">
            <v>44677</v>
          </cell>
          <cell r="B117">
            <v>80</v>
          </cell>
          <cell r="C117">
            <v>37</v>
          </cell>
          <cell r="F117">
            <v>1</v>
          </cell>
          <cell r="G117">
            <v>9</v>
          </cell>
          <cell r="H117">
            <v>1</v>
          </cell>
          <cell r="J117">
            <v>2</v>
          </cell>
          <cell r="N117">
            <v>17</v>
          </cell>
          <cell r="O117">
            <v>32</v>
          </cell>
          <cell r="P117">
            <v>2</v>
          </cell>
          <cell r="Q117">
            <v>14</v>
          </cell>
          <cell r="R117">
            <v>96</v>
          </cell>
          <cell r="T117">
            <v>102</v>
          </cell>
          <cell r="V117">
            <v>7</v>
          </cell>
          <cell r="X117">
            <v>69</v>
          </cell>
          <cell r="Y117">
            <v>1</v>
          </cell>
          <cell r="AA117">
            <v>1</v>
          </cell>
          <cell r="AC117">
            <v>3</v>
          </cell>
          <cell r="AD117">
            <v>32</v>
          </cell>
          <cell r="AE117">
            <v>2</v>
          </cell>
        </row>
        <row r="118">
          <cell r="A118">
            <v>44678</v>
          </cell>
          <cell r="B118">
            <v>74</v>
          </cell>
          <cell r="C118">
            <v>50</v>
          </cell>
          <cell r="F118">
            <v>1</v>
          </cell>
          <cell r="G118">
            <v>15</v>
          </cell>
          <cell r="H118">
            <v>1</v>
          </cell>
          <cell r="J118">
            <v>0</v>
          </cell>
          <cell r="K118">
            <v>1</v>
          </cell>
          <cell r="N118">
            <v>17</v>
          </cell>
          <cell r="O118">
            <v>17</v>
          </cell>
          <cell r="P118">
            <v>1</v>
          </cell>
          <cell r="Q118">
            <v>11</v>
          </cell>
          <cell r="R118">
            <v>89</v>
          </cell>
          <cell r="T118">
            <v>55</v>
          </cell>
          <cell r="V118">
            <v>9</v>
          </cell>
          <cell r="W118">
            <v>0</v>
          </cell>
          <cell r="X118">
            <v>90</v>
          </cell>
          <cell r="Y118">
            <v>1</v>
          </cell>
          <cell r="Z118">
            <v>1</v>
          </cell>
          <cell r="AA118">
            <v>2</v>
          </cell>
          <cell r="AB118">
            <v>2</v>
          </cell>
          <cell r="AC118">
            <v>1</v>
          </cell>
          <cell r="AD118">
            <v>22</v>
          </cell>
          <cell r="AE118">
            <v>0</v>
          </cell>
        </row>
        <row r="119">
          <cell r="A119">
            <v>44679</v>
          </cell>
          <cell r="B119">
            <v>49</v>
          </cell>
          <cell r="C119">
            <v>49</v>
          </cell>
          <cell r="F119">
            <v>2</v>
          </cell>
          <cell r="G119">
            <v>23</v>
          </cell>
          <cell r="H119">
            <v>1</v>
          </cell>
          <cell r="I119">
            <v>14</v>
          </cell>
          <cell r="J119">
            <v>2</v>
          </cell>
          <cell r="N119">
            <v>6</v>
          </cell>
          <cell r="O119">
            <v>10</v>
          </cell>
          <cell r="P119">
            <v>2</v>
          </cell>
          <cell r="Q119">
            <v>4</v>
          </cell>
          <cell r="R119">
            <v>80</v>
          </cell>
          <cell r="T119">
            <v>91</v>
          </cell>
          <cell r="U119">
            <v>1</v>
          </cell>
          <cell r="V119">
            <v>3</v>
          </cell>
          <cell r="X119">
            <v>44</v>
          </cell>
          <cell r="AA119">
            <v>5</v>
          </cell>
          <cell r="AB119">
            <v>18</v>
          </cell>
          <cell r="AC119">
            <v>3</v>
          </cell>
          <cell r="AD119">
            <v>23</v>
          </cell>
          <cell r="AE119">
            <v>7</v>
          </cell>
        </row>
        <row r="120">
          <cell r="A120">
            <v>44680</v>
          </cell>
          <cell r="B120">
            <v>20</v>
          </cell>
          <cell r="C120">
            <v>52</v>
          </cell>
          <cell r="G120">
            <v>19</v>
          </cell>
          <cell r="I120">
            <v>42</v>
          </cell>
          <cell r="J120">
            <v>1</v>
          </cell>
          <cell r="N120">
            <v>5</v>
          </cell>
          <cell r="O120">
            <v>5</v>
          </cell>
          <cell r="P120">
            <v>2</v>
          </cell>
          <cell r="Q120">
            <v>2</v>
          </cell>
          <cell r="R120">
            <v>70</v>
          </cell>
          <cell r="T120">
            <v>85</v>
          </cell>
          <cell r="V120">
            <v>6</v>
          </cell>
          <cell r="X120">
            <v>35</v>
          </cell>
          <cell r="AA120">
            <v>36</v>
          </cell>
          <cell r="AB120">
            <v>42</v>
          </cell>
          <cell r="AC120">
            <v>4</v>
          </cell>
          <cell r="AD120">
            <v>25</v>
          </cell>
          <cell r="AE120">
            <v>1</v>
          </cell>
        </row>
        <row r="121">
          <cell r="A121">
            <v>44681</v>
          </cell>
          <cell r="B121">
            <v>9</v>
          </cell>
          <cell r="C121">
            <v>59</v>
          </cell>
          <cell r="D121">
            <v>1</v>
          </cell>
          <cell r="F121">
            <v>1</v>
          </cell>
          <cell r="G121">
            <v>9</v>
          </cell>
          <cell r="I121">
            <v>21</v>
          </cell>
          <cell r="J121">
            <v>0</v>
          </cell>
          <cell r="N121">
            <v>9</v>
          </cell>
          <cell r="O121">
            <v>14</v>
          </cell>
          <cell r="P121">
            <v>2</v>
          </cell>
          <cell r="Q121">
            <v>0</v>
          </cell>
          <cell r="R121">
            <v>62</v>
          </cell>
          <cell r="T121">
            <v>47</v>
          </cell>
          <cell r="V121">
            <v>2</v>
          </cell>
          <cell r="X121">
            <v>20</v>
          </cell>
          <cell r="AA121">
            <v>10</v>
          </cell>
          <cell r="AB121">
            <v>48</v>
          </cell>
          <cell r="AC121">
            <v>1</v>
          </cell>
          <cell r="AD121">
            <v>18</v>
          </cell>
        </row>
        <row r="122">
          <cell r="A122">
            <v>44682</v>
          </cell>
          <cell r="B122">
            <v>16</v>
          </cell>
          <cell r="C122">
            <v>39</v>
          </cell>
          <cell r="G122">
            <v>0</v>
          </cell>
          <cell r="H122">
            <v>1</v>
          </cell>
          <cell r="I122">
            <v>18</v>
          </cell>
          <cell r="J122">
            <v>2</v>
          </cell>
          <cell r="N122">
            <v>5</v>
          </cell>
          <cell r="O122">
            <v>28</v>
          </cell>
          <cell r="P122">
            <v>1</v>
          </cell>
          <cell r="Q122">
            <v>4</v>
          </cell>
          <cell r="R122">
            <v>37</v>
          </cell>
          <cell r="T122">
            <v>96</v>
          </cell>
          <cell r="V122">
            <v>1</v>
          </cell>
          <cell r="X122">
            <v>39</v>
          </cell>
          <cell r="AA122">
            <v>6</v>
          </cell>
          <cell r="AB122">
            <v>39</v>
          </cell>
          <cell r="AC122">
            <v>1</v>
          </cell>
          <cell r="AD122">
            <v>18</v>
          </cell>
        </row>
        <row r="123">
          <cell r="A123">
            <v>44683</v>
          </cell>
          <cell r="B123">
            <v>13</v>
          </cell>
          <cell r="C123">
            <v>59</v>
          </cell>
          <cell r="F123">
            <v>1</v>
          </cell>
          <cell r="G123">
            <v>1</v>
          </cell>
          <cell r="H123">
            <v>3</v>
          </cell>
          <cell r="I123">
            <v>10</v>
          </cell>
          <cell r="J123">
            <v>0</v>
          </cell>
          <cell r="N123">
            <v>6</v>
          </cell>
          <cell r="O123">
            <v>23</v>
          </cell>
          <cell r="P123">
            <v>0</v>
          </cell>
          <cell r="Q123">
            <v>5</v>
          </cell>
          <cell r="R123">
            <v>34</v>
          </cell>
          <cell r="T123">
            <v>82</v>
          </cell>
          <cell r="V123">
            <v>1</v>
          </cell>
          <cell r="X123">
            <v>14</v>
          </cell>
          <cell r="Y123">
            <v>1</v>
          </cell>
          <cell r="AA123">
            <v>1</v>
          </cell>
          <cell r="AB123">
            <v>26</v>
          </cell>
          <cell r="AC123">
            <v>2</v>
          </cell>
          <cell r="AD123">
            <v>34</v>
          </cell>
        </row>
        <row r="124">
          <cell r="A124">
            <v>44684</v>
          </cell>
          <cell r="B124">
            <v>25</v>
          </cell>
          <cell r="C124">
            <v>51</v>
          </cell>
          <cell r="G124">
            <v>1</v>
          </cell>
          <cell r="H124">
            <v>1</v>
          </cell>
          <cell r="I124">
            <v>12</v>
          </cell>
          <cell r="J124">
            <v>1</v>
          </cell>
          <cell r="N124">
            <v>44</v>
          </cell>
          <cell r="O124">
            <v>10</v>
          </cell>
          <cell r="P124">
            <v>0</v>
          </cell>
          <cell r="Q124">
            <v>28</v>
          </cell>
          <cell r="R124">
            <v>48</v>
          </cell>
          <cell r="T124">
            <v>128</v>
          </cell>
          <cell r="X124">
            <v>15</v>
          </cell>
          <cell r="AA124">
            <v>2</v>
          </cell>
          <cell r="AB124">
            <v>11</v>
          </cell>
          <cell r="AC124">
            <v>0</v>
          </cell>
          <cell r="AD124">
            <v>20</v>
          </cell>
          <cell r="AE124">
            <v>1</v>
          </cell>
        </row>
        <row r="125">
          <cell r="A125">
            <v>44685</v>
          </cell>
          <cell r="B125">
            <v>29</v>
          </cell>
          <cell r="C125">
            <v>50</v>
          </cell>
          <cell r="I125">
            <v>17</v>
          </cell>
          <cell r="J125">
            <v>1</v>
          </cell>
          <cell r="N125">
            <v>40</v>
          </cell>
          <cell r="O125">
            <v>4</v>
          </cell>
          <cell r="P125">
            <v>2</v>
          </cell>
          <cell r="Q125">
            <v>19</v>
          </cell>
          <cell r="R125">
            <v>41</v>
          </cell>
          <cell r="T125">
            <v>100</v>
          </cell>
          <cell r="X125">
            <v>15</v>
          </cell>
          <cell r="AA125">
            <v>1</v>
          </cell>
          <cell r="AB125">
            <v>4</v>
          </cell>
          <cell r="AC125">
            <v>2</v>
          </cell>
          <cell r="AD125">
            <v>34</v>
          </cell>
          <cell r="AE125">
            <v>1</v>
          </cell>
        </row>
        <row r="126">
          <cell r="A126">
            <v>44686</v>
          </cell>
          <cell r="B126">
            <v>48</v>
          </cell>
          <cell r="C126">
            <v>72</v>
          </cell>
          <cell r="F126">
            <v>1</v>
          </cell>
          <cell r="H126">
            <v>1</v>
          </cell>
          <cell r="I126">
            <v>8</v>
          </cell>
          <cell r="K126">
            <v>2</v>
          </cell>
          <cell r="N126">
            <v>79</v>
          </cell>
          <cell r="O126">
            <v>4</v>
          </cell>
          <cell r="P126">
            <v>2</v>
          </cell>
          <cell r="Q126">
            <v>11</v>
          </cell>
          <cell r="R126">
            <v>17</v>
          </cell>
          <cell r="T126">
            <v>61</v>
          </cell>
          <cell r="X126">
            <v>5</v>
          </cell>
          <cell r="AA126">
            <v>0</v>
          </cell>
          <cell r="AB126">
            <v>0</v>
          </cell>
          <cell r="AC126">
            <v>2</v>
          </cell>
          <cell r="AD126">
            <v>24</v>
          </cell>
        </row>
        <row r="127">
          <cell r="A127">
            <v>44687</v>
          </cell>
          <cell r="B127">
            <v>70</v>
          </cell>
          <cell r="C127">
            <v>49</v>
          </cell>
          <cell r="F127">
            <v>1</v>
          </cell>
          <cell r="G127">
            <v>2</v>
          </cell>
          <cell r="I127">
            <v>8</v>
          </cell>
          <cell r="K127">
            <v>1</v>
          </cell>
          <cell r="N127">
            <v>98</v>
          </cell>
          <cell r="O127">
            <v>1</v>
          </cell>
          <cell r="P127">
            <v>2</v>
          </cell>
          <cell r="Q127">
            <v>3</v>
          </cell>
          <cell r="R127">
            <v>10</v>
          </cell>
          <cell r="T127">
            <v>99</v>
          </cell>
          <cell r="W127">
            <v>1</v>
          </cell>
          <cell r="X127">
            <v>4</v>
          </cell>
          <cell r="AA127">
            <v>3</v>
          </cell>
          <cell r="AB127">
            <v>3</v>
          </cell>
          <cell r="AD127">
            <v>18</v>
          </cell>
        </row>
        <row r="128">
          <cell r="A128">
            <v>44688</v>
          </cell>
          <cell r="B128">
            <v>61</v>
          </cell>
          <cell r="C128">
            <v>62</v>
          </cell>
          <cell r="F128">
            <v>3</v>
          </cell>
          <cell r="I128">
            <v>22</v>
          </cell>
          <cell r="N128">
            <v>101</v>
          </cell>
          <cell r="O128">
            <v>1</v>
          </cell>
          <cell r="P128">
            <v>0</v>
          </cell>
          <cell r="Q128">
            <v>2</v>
          </cell>
          <cell r="R128">
            <v>8</v>
          </cell>
          <cell r="T128">
            <v>85</v>
          </cell>
          <cell r="V128">
            <v>1</v>
          </cell>
          <cell r="W128">
            <v>6</v>
          </cell>
          <cell r="X128">
            <v>1</v>
          </cell>
          <cell r="AA128">
            <v>1</v>
          </cell>
          <cell r="AD128">
            <v>27</v>
          </cell>
          <cell r="AE128">
            <v>1</v>
          </cell>
        </row>
        <row r="129">
          <cell r="A129">
            <v>44689</v>
          </cell>
          <cell r="B129">
            <v>62</v>
          </cell>
          <cell r="C129">
            <v>44</v>
          </cell>
          <cell r="I129">
            <v>39</v>
          </cell>
          <cell r="N129">
            <v>60</v>
          </cell>
          <cell r="P129">
            <v>1</v>
          </cell>
          <cell r="Q129">
            <v>1</v>
          </cell>
          <cell r="R129">
            <v>10</v>
          </cell>
          <cell r="T129">
            <v>50</v>
          </cell>
          <cell r="W129">
            <v>20</v>
          </cell>
          <cell r="AA129">
            <v>0</v>
          </cell>
          <cell r="AD129">
            <v>17</v>
          </cell>
        </row>
        <row r="130">
          <cell r="A130">
            <v>44690</v>
          </cell>
          <cell r="B130">
            <v>55</v>
          </cell>
          <cell r="C130">
            <v>71</v>
          </cell>
          <cell r="F130">
            <v>1</v>
          </cell>
          <cell r="H130">
            <v>1</v>
          </cell>
          <cell r="I130">
            <v>18</v>
          </cell>
          <cell r="K130">
            <v>1</v>
          </cell>
          <cell r="N130">
            <v>116</v>
          </cell>
          <cell r="Q130">
            <v>1</v>
          </cell>
          <cell r="R130">
            <v>35</v>
          </cell>
          <cell r="T130">
            <v>53</v>
          </cell>
          <cell r="W130">
            <v>26</v>
          </cell>
          <cell r="AA130">
            <v>3</v>
          </cell>
          <cell r="AD130">
            <v>9</v>
          </cell>
        </row>
        <row r="131">
          <cell r="A131">
            <v>44691</v>
          </cell>
          <cell r="B131">
            <v>49</v>
          </cell>
          <cell r="C131">
            <v>35</v>
          </cell>
          <cell r="F131">
            <v>1</v>
          </cell>
          <cell r="G131">
            <v>1</v>
          </cell>
          <cell r="H131">
            <v>2</v>
          </cell>
          <cell r="I131">
            <v>20</v>
          </cell>
          <cell r="J131">
            <v>3</v>
          </cell>
          <cell r="K131">
            <v>2</v>
          </cell>
          <cell r="N131">
            <v>88</v>
          </cell>
          <cell r="Q131">
            <v>5</v>
          </cell>
          <cell r="R131">
            <v>44</v>
          </cell>
          <cell r="T131">
            <v>60</v>
          </cell>
          <cell r="W131">
            <v>15</v>
          </cell>
          <cell r="Y131">
            <v>1</v>
          </cell>
          <cell r="AA131">
            <v>9</v>
          </cell>
          <cell r="AD131">
            <v>7</v>
          </cell>
          <cell r="AE131">
            <v>2</v>
          </cell>
        </row>
        <row r="132">
          <cell r="A132">
            <v>44692</v>
          </cell>
          <cell r="B132">
            <v>47</v>
          </cell>
          <cell r="C132">
            <v>45</v>
          </cell>
          <cell r="I132">
            <v>4</v>
          </cell>
          <cell r="J132">
            <v>2</v>
          </cell>
          <cell r="K132">
            <v>4</v>
          </cell>
          <cell r="N132">
            <v>98</v>
          </cell>
          <cell r="Q132">
            <v>10</v>
          </cell>
          <cell r="R132">
            <v>14</v>
          </cell>
          <cell r="T132">
            <v>85</v>
          </cell>
          <cell r="W132">
            <v>38</v>
          </cell>
          <cell r="X132">
            <v>1</v>
          </cell>
          <cell r="AA132">
            <v>25</v>
          </cell>
          <cell r="AD132">
            <v>20</v>
          </cell>
        </row>
        <row r="133">
          <cell r="A133">
            <v>44693</v>
          </cell>
          <cell r="B133">
            <v>35</v>
          </cell>
          <cell r="C133">
            <v>47</v>
          </cell>
          <cell r="D133">
            <v>1</v>
          </cell>
          <cell r="F133">
            <v>3</v>
          </cell>
          <cell r="I133">
            <v>10</v>
          </cell>
          <cell r="J133">
            <v>4</v>
          </cell>
          <cell r="N133">
            <v>43</v>
          </cell>
          <cell r="Q133">
            <v>5</v>
          </cell>
          <cell r="R133">
            <v>10</v>
          </cell>
          <cell r="T133">
            <v>58</v>
          </cell>
          <cell r="W133">
            <v>30</v>
          </cell>
          <cell r="Z133">
            <v>1</v>
          </cell>
          <cell r="AA133">
            <v>96</v>
          </cell>
          <cell r="AD133">
            <v>4</v>
          </cell>
        </row>
        <row r="134">
          <cell r="A134">
            <v>44694</v>
          </cell>
          <cell r="B134">
            <v>17</v>
          </cell>
          <cell r="C134">
            <v>55</v>
          </cell>
          <cell r="D134">
            <v>2</v>
          </cell>
          <cell r="F134">
            <v>1</v>
          </cell>
          <cell r="G134">
            <v>1</v>
          </cell>
          <cell r="H134">
            <v>1</v>
          </cell>
          <cell r="I134">
            <v>5</v>
          </cell>
          <cell r="J134">
            <v>1</v>
          </cell>
          <cell r="K134">
            <v>1</v>
          </cell>
          <cell r="N134">
            <v>47</v>
          </cell>
          <cell r="P134">
            <v>1</v>
          </cell>
          <cell r="Q134">
            <v>2</v>
          </cell>
          <cell r="R134">
            <v>5</v>
          </cell>
          <cell r="T134">
            <v>33</v>
          </cell>
          <cell r="W134">
            <v>22</v>
          </cell>
          <cell r="X134">
            <v>1</v>
          </cell>
          <cell r="AA134">
            <v>91</v>
          </cell>
          <cell r="AD134">
            <v>2</v>
          </cell>
          <cell r="AE134">
            <v>1</v>
          </cell>
        </row>
        <row r="135">
          <cell r="A135">
            <v>44695</v>
          </cell>
          <cell r="B135">
            <v>9</v>
          </cell>
          <cell r="C135">
            <v>34</v>
          </cell>
          <cell r="D135">
            <v>0</v>
          </cell>
          <cell r="F135">
            <v>3</v>
          </cell>
          <cell r="G135">
            <v>7</v>
          </cell>
          <cell r="I135">
            <v>1</v>
          </cell>
          <cell r="J135">
            <v>3</v>
          </cell>
          <cell r="K135">
            <v>4</v>
          </cell>
          <cell r="N135">
            <v>29</v>
          </cell>
          <cell r="Q135">
            <v>9</v>
          </cell>
          <cell r="R135">
            <v>2</v>
          </cell>
          <cell r="T135">
            <v>18</v>
          </cell>
          <cell r="W135">
            <v>7</v>
          </cell>
          <cell r="X135">
            <v>2</v>
          </cell>
          <cell r="AA135">
            <v>207</v>
          </cell>
          <cell r="AD135">
            <v>3</v>
          </cell>
        </row>
        <row r="136">
          <cell r="A136">
            <v>44696</v>
          </cell>
          <cell r="B136">
            <v>2</v>
          </cell>
          <cell r="C136">
            <v>49</v>
          </cell>
          <cell r="D136">
            <v>4</v>
          </cell>
          <cell r="G136">
            <v>8</v>
          </cell>
          <cell r="I136">
            <v>4</v>
          </cell>
          <cell r="J136">
            <v>1</v>
          </cell>
          <cell r="K136">
            <v>1</v>
          </cell>
          <cell r="N136">
            <v>21</v>
          </cell>
          <cell r="O136">
            <v>2</v>
          </cell>
          <cell r="Q136">
            <v>4</v>
          </cell>
          <cell r="T136">
            <v>11</v>
          </cell>
          <cell r="W136">
            <v>7</v>
          </cell>
          <cell r="AA136">
            <v>88</v>
          </cell>
          <cell r="AC136">
            <v>1</v>
          </cell>
          <cell r="AD136">
            <v>0</v>
          </cell>
          <cell r="AE136">
            <v>4</v>
          </cell>
        </row>
        <row r="137">
          <cell r="A137">
            <v>44697</v>
          </cell>
          <cell r="B137">
            <v>1</v>
          </cell>
          <cell r="C137">
            <v>44</v>
          </cell>
          <cell r="D137">
            <v>30</v>
          </cell>
          <cell r="G137">
            <v>1</v>
          </cell>
          <cell r="H137">
            <v>1</v>
          </cell>
          <cell r="I137">
            <v>0</v>
          </cell>
          <cell r="N137">
            <v>33</v>
          </cell>
          <cell r="Q137">
            <v>2</v>
          </cell>
          <cell r="T137">
            <v>0</v>
          </cell>
          <cell r="W137">
            <v>3</v>
          </cell>
          <cell r="AA137">
            <v>87</v>
          </cell>
          <cell r="AD137">
            <v>1</v>
          </cell>
        </row>
        <row r="138">
          <cell r="A138">
            <v>44698</v>
          </cell>
          <cell r="B138">
            <v>4</v>
          </cell>
          <cell r="C138">
            <v>60</v>
          </cell>
          <cell r="D138">
            <v>45</v>
          </cell>
          <cell r="G138">
            <v>15</v>
          </cell>
          <cell r="I138">
            <v>1</v>
          </cell>
          <cell r="N138">
            <v>10</v>
          </cell>
          <cell r="T138">
            <v>1</v>
          </cell>
          <cell r="W138">
            <v>1</v>
          </cell>
          <cell r="AA138">
            <v>199</v>
          </cell>
          <cell r="AD138">
            <v>1</v>
          </cell>
          <cell r="AE138">
            <v>1</v>
          </cell>
        </row>
        <row r="139">
          <cell r="A139">
            <v>44699</v>
          </cell>
          <cell r="B139">
            <v>2</v>
          </cell>
          <cell r="C139">
            <v>53</v>
          </cell>
          <cell r="D139">
            <v>29</v>
          </cell>
          <cell r="G139">
            <v>12</v>
          </cell>
          <cell r="I139">
            <v>2</v>
          </cell>
          <cell r="N139">
            <v>20</v>
          </cell>
          <cell r="T139">
            <v>3</v>
          </cell>
          <cell r="AA139">
            <v>148</v>
          </cell>
          <cell r="AD139">
            <v>0</v>
          </cell>
        </row>
        <row r="140">
          <cell r="A140">
            <v>44700</v>
          </cell>
          <cell r="B140">
            <v>0</v>
          </cell>
          <cell r="C140">
            <v>56</v>
          </cell>
          <cell r="D140">
            <v>15</v>
          </cell>
          <cell r="G140">
            <v>6</v>
          </cell>
          <cell r="I140">
            <v>3</v>
          </cell>
          <cell r="N140">
            <v>28</v>
          </cell>
          <cell r="R140">
            <v>1</v>
          </cell>
          <cell r="T140">
            <v>2</v>
          </cell>
          <cell r="AA140">
            <v>122</v>
          </cell>
          <cell r="AD140">
            <v>1</v>
          </cell>
          <cell r="AE140">
            <v>1</v>
          </cell>
        </row>
        <row r="141">
          <cell r="A141">
            <v>44701</v>
          </cell>
          <cell r="B141">
            <v>1</v>
          </cell>
          <cell r="C141">
            <v>68</v>
          </cell>
          <cell r="D141">
            <v>23</v>
          </cell>
          <cell r="G141">
            <v>5</v>
          </cell>
          <cell r="I141">
            <v>2</v>
          </cell>
          <cell r="N141">
            <v>39</v>
          </cell>
          <cell r="T141">
            <v>4</v>
          </cell>
          <cell r="X141">
            <v>1</v>
          </cell>
          <cell r="AA141">
            <v>94</v>
          </cell>
          <cell r="AD141">
            <v>2</v>
          </cell>
          <cell r="AE141">
            <v>1</v>
          </cell>
        </row>
        <row r="142">
          <cell r="A142">
            <v>44702</v>
          </cell>
          <cell r="B142">
            <v>1</v>
          </cell>
          <cell r="C142">
            <v>60</v>
          </cell>
          <cell r="D142">
            <v>44</v>
          </cell>
          <cell r="G142">
            <v>4</v>
          </cell>
          <cell r="H142">
            <v>1</v>
          </cell>
          <cell r="I142">
            <v>1</v>
          </cell>
          <cell r="N142">
            <v>18</v>
          </cell>
          <cell r="T142">
            <v>1</v>
          </cell>
          <cell r="Z142">
            <v>1</v>
          </cell>
          <cell r="AA142">
            <v>44</v>
          </cell>
          <cell r="AD142">
            <v>1</v>
          </cell>
        </row>
        <row r="143">
          <cell r="A143">
            <v>44703</v>
          </cell>
          <cell r="B143">
            <v>0</v>
          </cell>
          <cell r="C143">
            <v>96</v>
          </cell>
          <cell r="D143">
            <v>27</v>
          </cell>
          <cell r="G143">
            <v>3</v>
          </cell>
          <cell r="H143">
            <v>1</v>
          </cell>
          <cell r="I143">
            <v>1</v>
          </cell>
          <cell r="N143">
            <v>53</v>
          </cell>
          <cell r="R143">
            <v>2</v>
          </cell>
          <cell r="T143">
            <v>0</v>
          </cell>
          <cell r="AA143">
            <v>29</v>
          </cell>
          <cell r="AD143">
            <v>1</v>
          </cell>
        </row>
        <row r="144">
          <cell r="A144">
            <v>44704</v>
          </cell>
          <cell r="B144">
            <v>1</v>
          </cell>
          <cell r="C144">
            <v>46</v>
          </cell>
          <cell r="D144">
            <v>18</v>
          </cell>
          <cell r="H144">
            <v>1</v>
          </cell>
          <cell r="N144">
            <v>23</v>
          </cell>
          <cell r="R144">
            <v>1</v>
          </cell>
          <cell r="T144">
            <v>0</v>
          </cell>
          <cell r="X144">
            <v>1</v>
          </cell>
          <cell r="Z144">
            <v>4</v>
          </cell>
          <cell r="AA144">
            <v>35</v>
          </cell>
          <cell r="AD144">
            <v>4</v>
          </cell>
        </row>
        <row r="145">
          <cell r="A145">
            <v>44705</v>
          </cell>
          <cell r="B145">
            <v>1</v>
          </cell>
          <cell r="C145">
            <v>43</v>
          </cell>
          <cell r="D145">
            <v>17</v>
          </cell>
          <cell r="N145">
            <v>29</v>
          </cell>
          <cell r="R145">
            <v>1</v>
          </cell>
          <cell r="T145">
            <v>11</v>
          </cell>
          <cell r="AA145">
            <v>8</v>
          </cell>
          <cell r="AB145">
            <v>4</v>
          </cell>
          <cell r="AD145">
            <v>5</v>
          </cell>
        </row>
        <row r="146">
          <cell r="A146">
            <v>44706</v>
          </cell>
          <cell r="B146">
            <v>4</v>
          </cell>
          <cell r="C146">
            <v>43</v>
          </cell>
          <cell r="D146">
            <v>18</v>
          </cell>
          <cell r="N146">
            <v>12</v>
          </cell>
          <cell r="R146">
            <v>2</v>
          </cell>
          <cell r="T146">
            <v>6</v>
          </cell>
          <cell r="X146">
            <v>1</v>
          </cell>
          <cell r="AA146">
            <v>12</v>
          </cell>
          <cell r="AB146">
            <v>4</v>
          </cell>
          <cell r="AD146">
            <v>1</v>
          </cell>
        </row>
        <row r="147">
          <cell r="A147">
            <v>44707</v>
          </cell>
          <cell r="B147">
            <v>2</v>
          </cell>
          <cell r="C147">
            <v>27</v>
          </cell>
          <cell r="D147">
            <v>9</v>
          </cell>
          <cell r="N147">
            <v>8</v>
          </cell>
          <cell r="O147">
            <v>1</v>
          </cell>
          <cell r="R147">
            <v>1</v>
          </cell>
          <cell r="T147">
            <v>9</v>
          </cell>
          <cell r="X147">
            <v>3</v>
          </cell>
          <cell r="AA147">
            <v>8</v>
          </cell>
          <cell r="AB147">
            <v>8</v>
          </cell>
          <cell r="AC147">
            <v>1</v>
          </cell>
          <cell r="AD147">
            <v>1</v>
          </cell>
        </row>
        <row r="148">
          <cell r="A148">
            <v>44708</v>
          </cell>
          <cell r="B148">
            <v>6</v>
          </cell>
          <cell r="C148">
            <v>23</v>
          </cell>
          <cell r="D148">
            <v>7</v>
          </cell>
          <cell r="N148">
            <v>9</v>
          </cell>
          <cell r="Q148">
            <v>3</v>
          </cell>
          <cell r="T148">
            <v>11</v>
          </cell>
          <cell r="X148">
            <v>7</v>
          </cell>
          <cell r="AA148">
            <v>3</v>
          </cell>
          <cell r="AB148">
            <v>9</v>
          </cell>
          <cell r="AC148">
            <v>1</v>
          </cell>
          <cell r="AD148">
            <v>2</v>
          </cell>
        </row>
        <row r="149">
          <cell r="A149">
            <v>44709</v>
          </cell>
          <cell r="B149">
            <v>3</v>
          </cell>
          <cell r="C149">
            <v>19</v>
          </cell>
          <cell r="D149">
            <v>11</v>
          </cell>
          <cell r="G149">
            <v>1</v>
          </cell>
          <cell r="N149">
            <v>9</v>
          </cell>
          <cell r="Q149">
            <v>13</v>
          </cell>
          <cell r="T149">
            <v>8</v>
          </cell>
          <cell r="X149">
            <v>2</v>
          </cell>
          <cell r="AA149">
            <v>4</v>
          </cell>
          <cell r="AB149">
            <v>7</v>
          </cell>
          <cell r="AC149">
            <v>0</v>
          </cell>
          <cell r="AD149">
            <v>2</v>
          </cell>
          <cell r="AE149">
            <v>1</v>
          </cell>
        </row>
        <row r="150">
          <cell r="A150">
            <v>44710</v>
          </cell>
          <cell r="C150">
            <v>11</v>
          </cell>
          <cell r="D150">
            <v>6</v>
          </cell>
          <cell r="N150">
            <v>2</v>
          </cell>
          <cell r="Q150">
            <v>19</v>
          </cell>
          <cell r="T150">
            <v>5</v>
          </cell>
          <cell r="X150">
            <v>1</v>
          </cell>
          <cell r="AA150">
            <v>0</v>
          </cell>
          <cell r="AB150">
            <v>5</v>
          </cell>
          <cell r="AC150">
            <v>0</v>
          </cell>
        </row>
        <row r="151">
          <cell r="A151">
            <v>44711</v>
          </cell>
          <cell r="C151">
            <v>18</v>
          </cell>
          <cell r="D151">
            <v>5</v>
          </cell>
          <cell r="N151">
            <v>0</v>
          </cell>
          <cell r="Q151">
            <v>15</v>
          </cell>
          <cell r="T151">
            <v>12</v>
          </cell>
          <cell r="AA151">
            <v>1</v>
          </cell>
          <cell r="AB151">
            <v>4</v>
          </cell>
          <cell r="AC151">
            <v>2</v>
          </cell>
        </row>
        <row r="152">
          <cell r="A152">
            <v>44712</v>
          </cell>
          <cell r="C152">
            <v>14</v>
          </cell>
          <cell r="D152">
            <v>0</v>
          </cell>
          <cell r="G152">
            <v>1</v>
          </cell>
          <cell r="J152">
            <v>1</v>
          </cell>
          <cell r="N152">
            <v>2</v>
          </cell>
          <cell r="Q152">
            <v>9</v>
          </cell>
          <cell r="R152">
            <v>1</v>
          </cell>
          <cell r="T152">
            <v>4</v>
          </cell>
          <cell r="X152">
            <v>7</v>
          </cell>
          <cell r="AA152">
            <v>3</v>
          </cell>
          <cell r="AB152">
            <v>1</v>
          </cell>
          <cell r="AC152">
            <v>1</v>
          </cell>
        </row>
        <row r="153">
          <cell r="A153">
            <v>44713</v>
          </cell>
          <cell r="C153">
            <v>14</v>
          </cell>
          <cell r="D153">
            <v>5</v>
          </cell>
          <cell r="J153">
            <v>9</v>
          </cell>
          <cell r="N153">
            <v>3</v>
          </cell>
          <cell r="Q153">
            <v>3</v>
          </cell>
          <cell r="T153">
            <v>4</v>
          </cell>
          <cell r="X153">
            <v>5</v>
          </cell>
          <cell r="AA153">
            <v>3</v>
          </cell>
          <cell r="AC153">
            <v>1</v>
          </cell>
        </row>
        <row r="154">
          <cell r="A154">
            <v>44714</v>
          </cell>
          <cell r="B154">
            <v>1</v>
          </cell>
          <cell r="C154">
            <v>15</v>
          </cell>
          <cell r="D154">
            <v>3</v>
          </cell>
          <cell r="J154">
            <v>9</v>
          </cell>
          <cell r="N154">
            <v>2</v>
          </cell>
          <cell r="Q154">
            <v>4</v>
          </cell>
          <cell r="T154">
            <v>7</v>
          </cell>
          <cell r="V154">
            <v>7</v>
          </cell>
          <cell r="X154">
            <v>3</v>
          </cell>
          <cell r="AA154">
            <v>1</v>
          </cell>
          <cell r="AC154">
            <v>0</v>
          </cell>
          <cell r="AD154">
            <v>1</v>
          </cell>
        </row>
        <row r="155">
          <cell r="A155">
            <v>44715</v>
          </cell>
          <cell r="C155">
            <v>5</v>
          </cell>
          <cell r="J155">
            <v>3</v>
          </cell>
          <cell r="N155">
            <v>3</v>
          </cell>
          <cell r="T155">
            <v>26</v>
          </cell>
          <cell r="V155">
            <v>16</v>
          </cell>
          <cell r="AA155">
            <v>3</v>
          </cell>
          <cell r="AC155">
            <v>1</v>
          </cell>
        </row>
        <row r="156">
          <cell r="A156">
            <v>44716</v>
          </cell>
          <cell r="C156">
            <v>17</v>
          </cell>
          <cell r="J156">
            <v>1</v>
          </cell>
          <cell r="T156">
            <v>25</v>
          </cell>
          <cell r="V156">
            <v>18</v>
          </cell>
          <cell r="X156">
            <v>2</v>
          </cell>
          <cell r="AA156">
            <v>0</v>
          </cell>
          <cell r="AC156">
            <v>0</v>
          </cell>
        </row>
        <row r="157">
          <cell r="A157">
            <v>44717</v>
          </cell>
          <cell r="C157">
            <v>5</v>
          </cell>
          <cell r="J157">
            <v>2</v>
          </cell>
          <cell r="T157">
            <v>13</v>
          </cell>
          <cell r="V157">
            <v>49</v>
          </cell>
          <cell r="AA157">
            <v>5</v>
          </cell>
          <cell r="AC157">
            <v>1</v>
          </cell>
        </row>
        <row r="158">
          <cell r="A158">
            <v>44718</v>
          </cell>
          <cell r="C158">
            <v>2</v>
          </cell>
          <cell r="H158">
            <v>1</v>
          </cell>
          <cell r="J158">
            <v>0</v>
          </cell>
          <cell r="T158">
            <v>19</v>
          </cell>
          <cell r="V158">
            <v>69</v>
          </cell>
          <cell r="AA158">
            <v>4</v>
          </cell>
          <cell r="AC158">
            <v>0</v>
          </cell>
          <cell r="AD158">
            <v>1</v>
          </cell>
        </row>
        <row r="159">
          <cell r="A159">
            <v>44719</v>
          </cell>
          <cell r="B159">
            <v>1</v>
          </cell>
          <cell r="C159">
            <v>7</v>
          </cell>
          <cell r="H159">
            <v>2</v>
          </cell>
          <cell r="J159">
            <v>0</v>
          </cell>
          <cell r="T159">
            <v>5</v>
          </cell>
          <cell r="V159">
            <v>81</v>
          </cell>
          <cell r="AA159">
            <v>4</v>
          </cell>
          <cell r="AC159">
            <v>3</v>
          </cell>
          <cell r="AD159">
            <v>2</v>
          </cell>
        </row>
        <row r="160">
          <cell r="A160">
            <v>44720</v>
          </cell>
          <cell r="H160">
            <v>2</v>
          </cell>
          <cell r="J160">
            <v>1</v>
          </cell>
          <cell r="N160">
            <v>1</v>
          </cell>
          <cell r="T160">
            <v>5</v>
          </cell>
          <cell r="V160">
            <v>130</v>
          </cell>
          <cell r="AC160">
            <v>1</v>
          </cell>
        </row>
        <row r="161">
          <cell r="A161">
            <v>44721</v>
          </cell>
          <cell r="C161">
            <v>8</v>
          </cell>
          <cell r="H161">
            <v>1</v>
          </cell>
          <cell r="J161">
            <v>2</v>
          </cell>
          <cell r="T161">
            <v>8</v>
          </cell>
          <cell r="V161">
            <v>34</v>
          </cell>
          <cell r="AC161">
            <v>0</v>
          </cell>
        </row>
        <row r="162">
          <cell r="A162">
            <v>44722</v>
          </cell>
          <cell r="C162">
            <v>61</v>
          </cell>
          <cell r="H162">
            <v>1</v>
          </cell>
          <cell r="J162">
            <v>6</v>
          </cell>
          <cell r="L162">
            <v>1</v>
          </cell>
          <cell r="T162">
            <v>6</v>
          </cell>
          <cell r="V162">
            <v>42</v>
          </cell>
          <cell r="AC162">
            <v>1</v>
          </cell>
        </row>
        <row r="163">
          <cell r="A163">
            <v>44723</v>
          </cell>
          <cell r="C163">
            <v>64</v>
          </cell>
          <cell r="F163">
            <v>1</v>
          </cell>
          <cell r="H163">
            <v>1</v>
          </cell>
          <cell r="J163">
            <v>4</v>
          </cell>
          <cell r="Q163">
            <v>1</v>
          </cell>
          <cell r="T163">
            <v>5</v>
          </cell>
          <cell r="V163">
            <v>35</v>
          </cell>
          <cell r="AC163">
            <v>3</v>
          </cell>
        </row>
        <row r="164">
          <cell r="A164">
            <v>44724</v>
          </cell>
          <cell r="C164">
            <v>40</v>
          </cell>
          <cell r="F164">
            <v>3</v>
          </cell>
          <cell r="J164">
            <v>2</v>
          </cell>
          <cell r="T164">
            <v>1</v>
          </cell>
          <cell r="V164">
            <v>40</v>
          </cell>
          <cell r="AA164">
            <v>1</v>
          </cell>
          <cell r="AC164">
            <v>3</v>
          </cell>
          <cell r="AD164">
            <v>1</v>
          </cell>
        </row>
        <row r="165">
          <cell r="A165">
            <v>44725</v>
          </cell>
          <cell r="B165">
            <v>1</v>
          </cell>
          <cell r="C165">
            <v>74</v>
          </cell>
          <cell r="T165">
            <v>5</v>
          </cell>
          <cell r="V165">
            <v>21</v>
          </cell>
          <cell r="AA165">
            <v>2</v>
          </cell>
          <cell r="AC165">
            <v>3</v>
          </cell>
          <cell r="AD165">
            <v>1</v>
          </cell>
        </row>
        <row r="166">
          <cell r="A166">
            <v>44726</v>
          </cell>
          <cell r="C166">
            <v>63</v>
          </cell>
          <cell r="F166">
            <v>1</v>
          </cell>
          <cell r="Q166">
            <v>2</v>
          </cell>
          <cell r="T166">
            <v>6</v>
          </cell>
          <cell r="V166">
            <v>16</v>
          </cell>
          <cell r="AC166">
            <v>1</v>
          </cell>
          <cell r="AD166">
            <v>1</v>
          </cell>
        </row>
        <row r="167">
          <cell r="A167">
            <v>44727</v>
          </cell>
          <cell r="C167">
            <v>18</v>
          </cell>
          <cell r="J167">
            <v>1</v>
          </cell>
          <cell r="Q167">
            <v>2</v>
          </cell>
          <cell r="T167">
            <v>6</v>
          </cell>
          <cell r="V167">
            <v>31</v>
          </cell>
        </row>
        <row r="168">
          <cell r="A168">
            <v>44728</v>
          </cell>
          <cell r="C168">
            <v>21</v>
          </cell>
          <cell r="J168">
            <v>1</v>
          </cell>
          <cell r="Q168">
            <v>1</v>
          </cell>
          <cell r="T168">
            <v>9</v>
          </cell>
          <cell r="V168">
            <v>18</v>
          </cell>
          <cell r="AA168">
            <v>1</v>
          </cell>
          <cell r="AC168">
            <v>1</v>
          </cell>
        </row>
        <row r="169">
          <cell r="A169">
            <v>44729</v>
          </cell>
          <cell r="C169">
            <v>9</v>
          </cell>
          <cell r="J169">
            <v>3</v>
          </cell>
          <cell r="Q169">
            <v>2</v>
          </cell>
          <cell r="T169">
            <v>6</v>
          </cell>
          <cell r="V169">
            <v>20</v>
          </cell>
        </row>
        <row r="170">
          <cell r="A170">
            <v>44730</v>
          </cell>
          <cell r="C170">
            <v>1</v>
          </cell>
          <cell r="I170">
            <v>2</v>
          </cell>
          <cell r="J170">
            <v>1</v>
          </cell>
          <cell r="T170">
            <v>4</v>
          </cell>
          <cell r="V170">
            <v>5</v>
          </cell>
          <cell r="AB170">
            <v>1</v>
          </cell>
          <cell r="AD170">
            <v>1</v>
          </cell>
        </row>
        <row r="171">
          <cell r="A171">
            <v>44731</v>
          </cell>
          <cell r="C171">
            <v>5</v>
          </cell>
          <cell r="J171">
            <v>1</v>
          </cell>
          <cell r="T171">
            <v>2</v>
          </cell>
          <cell r="AB171">
            <v>2</v>
          </cell>
        </row>
        <row r="172">
          <cell r="A172">
            <v>44732</v>
          </cell>
          <cell r="C172">
            <v>5</v>
          </cell>
          <cell r="I172">
            <v>2</v>
          </cell>
          <cell r="J172">
            <v>2</v>
          </cell>
          <cell r="T172">
            <v>6</v>
          </cell>
        </row>
        <row r="173">
          <cell r="A173">
            <v>44733</v>
          </cell>
          <cell r="C173">
            <v>6</v>
          </cell>
          <cell r="I173">
            <v>1</v>
          </cell>
          <cell r="J173">
            <v>2</v>
          </cell>
          <cell r="T173">
            <v>4</v>
          </cell>
          <cell r="V173">
            <v>1</v>
          </cell>
        </row>
        <row r="174">
          <cell r="A174">
            <v>44734</v>
          </cell>
          <cell r="C174">
            <v>3</v>
          </cell>
          <cell r="I174">
            <v>3</v>
          </cell>
          <cell r="J174">
            <v>3</v>
          </cell>
          <cell r="T174">
            <v>5</v>
          </cell>
          <cell r="V174">
            <v>1</v>
          </cell>
        </row>
        <row r="175">
          <cell r="A175">
            <v>44735</v>
          </cell>
          <cell r="C175">
            <v>3</v>
          </cell>
          <cell r="I175">
            <v>5</v>
          </cell>
          <cell r="J175">
            <v>4</v>
          </cell>
          <cell r="T175">
            <v>7</v>
          </cell>
          <cell r="V175">
            <v>1</v>
          </cell>
        </row>
        <row r="176">
          <cell r="A176">
            <v>44736</v>
          </cell>
          <cell r="C176">
            <v>2</v>
          </cell>
          <cell r="I176">
            <v>6</v>
          </cell>
          <cell r="J176">
            <v>2</v>
          </cell>
          <cell r="T176">
            <v>8</v>
          </cell>
          <cell r="AC176">
            <v>2</v>
          </cell>
        </row>
        <row r="177">
          <cell r="A177">
            <v>44737</v>
          </cell>
          <cell r="C177">
            <v>1</v>
          </cell>
          <cell r="I177">
            <v>5</v>
          </cell>
          <cell r="J177">
            <v>1</v>
          </cell>
          <cell r="T177">
            <v>7</v>
          </cell>
        </row>
        <row r="178">
          <cell r="A178">
            <v>44738</v>
          </cell>
          <cell r="C178">
            <v>4</v>
          </cell>
          <cell r="G178">
            <v>3</v>
          </cell>
          <cell r="I178">
            <v>3</v>
          </cell>
          <cell r="J178">
            <v>2</v>
          </cell>
          <cell r="T178">
            <v>6</v>
          </cell>
          <cell r="AC178">
            <v>1</v>
          </cell>
        </row>
        <row r="179">
          <cell r="A179">
            <v>44739</v>
          </cell>
          <cell r="D179">
            <v>4</v>
          </cell>
          <cell r="G179">
            <v>6</v>
          </cell>
          <cell r="I179">
            <v>5</v>
          </cell>
          <cell r="J179">
            <v>3</v>
          </cell>
          <cell r="T179">
            <v>4</v>
          </cell>
        </row>
        <row r="180">
          <cell r="A180">
            <v>44740</v>
          </cell>
          <cell r="B180">
            <v>6</v>
          </cell>
          <cell r="C180">
            <v>1</v>
          </cell>
          <cell r="D180">
            <v>9</v>
          </cell>
          <cell r="G180">
            <v>15</v>
          </cell>
          <cell r="I180">
            <v>3</v>
          </cell>
          <cell r="T180">
            <v>3</v>
          </cell>
          <cell r="AA180">
            <v>1</v>
          </cell>
          <cell r="AC180">
            <v>1</v>
          </cell>
        </row>
        <row r="181">
          <cell r="A181">
            <v>44741</v>
          </cell>
          <cell r="B181">
            <v>14</v>
          </cell>
          <cell r="C181">
            <v>1</v>
          </cell>
          <cell r="G181">
            <v>13</v>
          </cell>
          <cell r="I181">
            <v>3</v>
          </cell>
          <cell r="T181">
            <v>7</v>
          </cell>
        </row>
        <row r="182">
          <cell r="A182">
            <v>44742</v>
          </cell>
          <cell r="B182">
            <v>12</v>
          </cell>
          <cell r="D182">
            <v>2</v>
          </cell>
          <cell r="G182">
            <v>107</v>
          </cell>
          <cell r="I182">
            <v>2</v>
          </cell>
          <cell r="R182">
            <v>1</v>
          </cell>
          <cell r="T182">
            <v>7</v>
          </cell>
          <cell r="X182">
            <v>13</v>
          </cell>
          <cell r="AA182">
            <v>1</v>
          </cell>
          <cell r="AD182">
            <v>2</v>
          </cell>
          <cell r="AE182">
            <v>2</v>
          </cell>
        </row>
        <row r="183">
          <cell r="A183">
            <v>44743</v>
          </cell>
          <cell r="B183">
            <v>30</v>
          </cell>
          <cell r="G183">
            <v>135</v>
          </cell>
          <cell r="I183">
            <v>1</v>
          </cell>
          <cell r="T183">
            <v>8</v>
          </cell>
          <cell r="X183">
            <v>4</v>
          </cell>
          <cell r="AA183">
            <v>1</v>
          </cell>
          <cell r="AD183">
            <v>3</v>
          </cell>
        </row>
        <row r="184">
          <cell r="A184">
            <v>44744</v>
          </cell>
          <cell r="B184">
            <v>59</v>
          </cell>
          <cell r="E184">
            <v>2</v>
          </cell>
          <cell r="G184">
            <v>292</v>
          </cell>
          <cell r="T184">
            <v>7</v>
          </cell>
          <cell r="X184">
            <v>14</v>
          </cell>
          <cell r="Z184">
            <v>6</v>
          </cell>
          <cell r="AD184">
            <v>3</v>
          </cell>
        </row>
        <row r="185">
          <cell r="A185">
            <v>44745</v>
          </cell>
          <cell r="B185">
            <v>56</v>
          </cell>
          <cell r="E185">
            <v>3</v>
          </cell>
          <cell r="G185">
            <v>286</v>
          </cell>
          <cell r="H185">
            <v>10</v>
          </cell>
          <cell r="I185">
            <v>1</v>
          </cell>
          <cell r="T185">
            <v>9</v>
          </cell>
          <cell r="X185">
            <v>7</v>
          </cell>
          <cell r="Z185">
            <v>3</v>
          </cell>
          <cell r="AA185">
            <v>1</v>
          </cell>
          <cell r="AD185">
            <v>2</v>
          </cell>
        </row>
        <row r="186">
          <cell r="A186">
            <v>44746</v>
          </cell>
          <cell r="B186">
            <v>66</v>
          </cell>
          <cell r="C186">
            <v>3</v>
          </cell>
          <cell r="E186">
            <v>8</v>
          </cell>
          <cell r="G186">
            <v>223</v>
          </cell>
          <cell r="H186">
            <v>7</v>
          </cell>
          <cell r="I186">
            <v>3</v>
          </cell>
          <cell r="T186">
            <v>1</v>
          </cell>
          <cell r="X186">
            <v>6</v>
          </cell>
          <cell r="Z186">
            <v>9</v>
          </cell>
        </row>
        <row r="187">
          <cell r="A187">
            <v>44747</v>
          </cell>
          <cell r="B187">
            <v>63</v>
          </cell>
          <cell r="C187">
            <v>6</v>
          </cell>
          <cell r="D187">
            <v>5</v>
          </cell>
          <cell r="E187">
            <v>24</v>
          </cell>
          <cell r="G187">
            <v>188</v>
          </cell>
          <cell r="H187">
            <v>8</v>
          </cell>
          <cell r="I187">
            <v>1</v>
          </cell>
          <cell r="Z187">
            <v>11</v>
          </cell>
          <cell r="AA187">
            <v>1</v>
          </cell>
        </row>
        <row r="188">
          <cell r="A188">
            <v>44748</v>
          </cell>
          <cell r="B188">
            <v>61</v>
          </cell>
          <cell r="C188">
            <v>3</v>
          </cell>
          <cell r="D188">
            <v>4</v>
          </cell>
          <cell r="E188">
            <v>54</v>
          </cell>
          <cell r="G188">
            <v>158</v>
          </cell>
          <cell r="H188">
            <v>19</v>
          </cell>
          <cell r="I188">
            <v>3</v>
          </cell>
          <cell r="T188">
            <v>1</v>
          </cell>
          <cell r="V188">
            <v>8</v>
          </cell>
          <cell r="X188">
            <v>10</v>
          </cell>
          <cell r="Y188">
            <v>1</v>
          </cell>
          <cell r="Z188">
            <v>4</v>
          </cell>
        </row>
        <row r="189">
          <cell r="A189">
            <v>44749</v>
          </cell>
          <cell r="B189">
            <v>69</v>
          </cell>
          <cell r="E189">
            <v>45</v>
          </cell>
          <cell r="G189">
            <v>154</v>
          </cell>
          <cell r="H189">
            <v>17</v>
          </cell>
          <cell r="I189">
            <v>7</v>
          </cell>
          <cell r="J189">
            <v>2</v>
          </cell>
          <cell r="M189">
            <v>2</v>
          </cell>
          <cell r="V189">
            <v>4</v>
          </cell>
          <cell r="X189">
            <v>66</v>
          </cell>
          <cell r="Z189">
            <v>9</v>
          </cell>
        </row>
        <row r="190">
          <cell r="A190">
            <v>44750</v>
          </cell>
          <cell r="B190">
            <v>78</v>
          </cell>
          <cell r="C190">
            <v>3</v>
          </cell>
          <cell r="D190">
            <v>1</v>
          </cell>
          <cell r="E190">
            <v>59</v>
          </cell>
          <cell r="G190">
            <v>135</v>
          </cell>
          <cell r="H190">
            <v>21</v>
          </cell>
          <cell r="I190">
            <v>8</v>
          </cell>
          <cell r="J190">
            <v>1</v>
          </cell>
          <cell r="L190">
            <v>5</v>
          </cell>
          <cell r="V190">
            <v>3</v>
          </cell>
          <cell r="X190">
            <v>46</v>
          </cell>
          <cell r="Z190">
            <v>3</v>
          </cell>
          <cell r="AD190">
            <v>2</v>
          </cell>
        </row>
        <row r="191">
          <cell r="A191">
            <v>44751</v>
          </cell>
          <cell r="B191">
            <v>62</v>
          </cell>
          <cell r="D191">
            <v>1</v>
          </cell>
          <cell r="E191">
            <v>57</v>
          </cell>
          <cell r="G191">
            <v>79</v>
          </cell>
          <cell r="H191">
            <v>7</v>
          </cell>
          <cell r="I191">
            <v>25</v>
          </cell>
          <cell r="J191">
            <v>3</v>
          </cell>
          <cell r="L191">
            <v>13</v>
          </cell>
          <cell r="M191">
            <v>7</v>
          </cell>
          <cell r="N191">
            <v>4</v>
          </cell>
          <cell r="R191">
            <v>3</v>
          </cell>
          <cell r="V191">
            <v>9</v>
          </cell>
          <cell r="X191">
            <v>57</v>
          </cell>
          <cell r="Z191">
            <v>2</v>
          </cell>
          <cell r="AD191">
            <v>3</v>
          </cell>
        </row>
        <row r="192">
          <cell r="A192">
            <v>44752</v>
          </cell>
          <cell r="B192">
            <v>60</v>
          </cell>
          <cell r="C192">
            <v>1</v>
          </cell>
          <cell r="E192">
            <v>69</v>
          </cell>
          <cell r="G192">
            <v>39</v>
          </cell>
          <cell r="H192">
            <v>18</v>
          </cell>
          <cell r="I192">
            <v>29</v>
          </cell>
          <cell r="J192">
            <v>3</v>
          </cell>
          <cell r="L192">
            <v>27</v>
          </cell>
          <cell r="M192">
            <v>3</v>
          </cell>
          <cell r="N192">
            <v>12</v>
          </cell>
          <cell r="R192">
            <v>1</v>
          </cell>
          <cell r="V192">
            <v>1</v>
          </cell>
          <cell r="W192">
            <v>1</v>
          </cell>
          <cell r="X192">
            <v>80</v>
          </cell>
          <cell r="Y192">
            <v>1</v>
          </cell>
          <cell r="Z192">
            <v>2</v>
          </cell>
          <cell r="AD192">
            <v>1</v>
          </cell>
        </row>
        <row r="193">
          <cell r="A193">
            <v>44753</v>
          </cell>
          <cell r="B193">
            <v>28</v>
          </cell>
          <cell r="E193">
            <v>59</v>
          </cell>
          <cell r="G193">
            <v>24</v>
          </cell>
          <cell r="H193">
            <v>11</v>
          </cell>
          <cell r="I193">
            <v>40</v>
          </cell>
          <cell r="J193">
            <v>3</v>
          </cell>
          <cell r="L193">
            <v>19</v>
          </cell>
          <cell r="M193">
            <v>16</v>
          </cell>
          <cell r="N193">
            <v>73</v>
          </cell>
          <cell r="R193">
            <v>3</v>
          </cell>
          <cell r="V193">
            <v>2</v>
          </cell>
          <cell r="X193">
            <v>56</v>
          </cell>
          <cell r="Z193">
            <v>2</v>
          </cell>
          <cell r="AD193">
            <v>1</v>
          </cell>
        </row>
        <row r="194">
          <cell r="A194">
            <v>44754</v>
          </cell>
          <cell r="B194">
            <v>17</v>
          </cell>
          <cell r="E194">
            <v>55</v>
          </cell>
          <cell r="G194">
            <v>8</v>
          </cell>
          <cell r="H194">
            <v>2</v>
          </cell>
          <cell r="I194">
            <v>20</v>
          </cell>
          <cell r="J194">
            <v>3</v>
          </cell>
          <cell r="L194">
            <v>69</v>
          </cell>
          <cell r="M194">
            <v>9</v>
          </cell>
          <cell r="N194">
            <v>25</v>
          </cell>
          <cell r="R194">
            <v>5</v>
          </cell>
          <cell r="V194">
            <v>4</v>
          </cell>
          <cell r="X194">
            <v>38</v>
          </cell>
        </row>
        <row r="195">
          <cell r="A195">
            <v>44755</v>
          </cell>
          <cell r="B195">
            <v>9</v>
          </cell>
          <cell r="E195">
            <v>47</v>
          </cell>
          <cell r="F195">
            <v>1</v>
          </cell>
          <cell r="H195">
            <v>1</v>
          </cell>
          <cell r="I195">
            <v>43</v>
          </cell>
          <cell r="J195">
            <v>25</v>
          </cell>
          <cell r="L195">
            <v>89</v>
          </cell>
          <cell r="M195">
            <v>6</v>
          </cell>
          <cell r="N195">
            <v>29</v>
          </cell>
          <cell r="R195">
            <v>9</v>
          </cell>
          <cell r="V195">
            <v>1</v>
          </cell>
          <cell r="X195">
            <v>18</v>
          </cell>
          <cell r="AA195">
            <v>1</v>
          </cell>
        </row>
        <row r="196">
          <cell r="A196">
            <v>44756</v>
          </cell>
          <cell r="B196">
            <v>13</v>
          </cell>
          <cell r="E196">
            <v>45</v>
          </cell>
          <cell r="H196">
            <v>1</v>
          </cell>
          <cell r="I196">
            <v>53</v>
          </cell>
          <cell r="J196">
            <v>165</v>
          </cell>
          <cell r="L196">
            <v>66</v>
          </cell>
          <cell r="M196">
            <v>3</v>
          </cell>
          <cell r="N196">
            <v>52</v>
          </cell>
          <cell r="R196">
            <v>9</v>
          </cell>
          <cell r="V196">
            <v>1</v>
          </cell>
          <cell r="X196">
            <v>9</v>
          </cell>
        </row>
        <row r="197">
          <cell r="A197">
            <v>44757</v>
          </cell>
          <cell r="B197">
            <v>5</v>
          </cell>
          <cell r="E197">
            <v>33</v>
          </cell>
          <cell r="F197">
            <v>1</v>
          </cell>
          <cell r="G197">
            <v>155</v>
          </cell>
          <cell r="H197">
            <v>1</v>
          </cell>
          <cell r="I197">
            <v>31</v>
          </cell>
          <cell r="J197">
            <v>40</v>
          </cell>
          <cell r="L197">
            <v>112</v>
          </cell>
          <cell r="M197">
            <v>2</v>
          </cell>
          <cell r="N197">
            <v>39</v>
          </cell>
          <cell r="R197">
            <v>4</v>
          </cell>
          <cell r="S197">
            <v>3</v>
          </cell>
          <cell r="W197">
            <v>1</v>
          </cell>
          <cell r="X197">
            <v>6</v>
          </cell>
          <cell r="AA197">
            <v>1</v>
          </cell>
        </row>
        <row r="198">
          <cell r="A198">
            <v>44758</v>
          </cell>
          <cell r="B198">
            <v>5</v>
          </cell>
          <cell r="E198">
            <v>26</v>
          </cell>
          <cell r="G198">
            <v>47</v>
          </cell>
          <cell r="H198">
            <v>3</v>
          </cell>
          <cell r="I198">
            <v>15</v>
          </cell>
          <cell r="J198">
            <v>241</v>
          </cell>
          <cell r="K198">
            <v>1</v>
          </cell>
          <cell r="L198">
            <v>157</v>
          </cell>
          <cell r="N198">
            <v>29</v>
          </cell>
          <cell r="O198">
            <v>1</v>
          </cell>
          <cell r="R198">
            <v>9</v>
          </cell>
          <cell r="S198">
            <v>6</v>
          </cell>
          <cell r="X198">
            <v>4</v>
          </cell>
          <cell r="AA198">
            <v>12</v>
          </cell>
          <cell r="AD198">
            <v>1</v>
          </cell>
        </row>
        <row r="199">
          <cell r="A199">
            <v>44759</v>
          </cell>
          <cell r="B199">
            <v>3</v>
          </cell>
          <cell r="E199">
            <v>17</v>
          </cell>
          <cell r="G199">
            <v>55</v>
          </cell>
          <cell r="I199">
            <v>14</v>
          </cell>
          <cell r="J199">
            <v>81</v>
          </cell>
          <cell r="L199">
            <v>202</v>
          </cell>
          <cell r="M199">
            <v>1</v>
          </cell>
          <cell r="N199">
            <v>39</v>
          </cell>
          <cell r="R199">
            <v>15</v>
          </cell>
          <cell r="S199">
            <v>8</v>
          </cell>
          <cell r="T199">
            <v>2</v>
          </cell>
          <cell r="X199">
            <v>4</v>
          </cell>
          <cell r="AA199">
            <v>23</v>
          </cell>
        </row>
        <row r="200">
          <cell r="A200">
            <v>44760</v>
          </cell>
          <cell r="B200">
            <v>1</v>
          </cell>
          <cell r="C200">
            <v>1</v>
          </cell>
          <cell r="D200">
            <v>11</v>
          </cell>
          <cell r="E200">
            <v>23</v>
          </cell>
          <cell r="F200">
            <v>1</v>
          </cell>
          <cell r="G200">
            <v>78</v>
          </cell>
          <cell r="I200">
            <v>13</v>
          </cell>
          <cell r="J200">
            <v>194</v>
          </cell>
          <cell r="L200">
            <v>231</v>
          </cell>
          <cell r="N200">
            <v>45</v>
          </cell>
          <cell r="R200">
            <v>14</v>
          </cell>
          <cell r="S200">
            <v>9</v>
          </cell>
          <cell r="X200">
            <v>2</v>
          </cell>
          <cell r="AA200">
            <v>19</v>
          </cell>
          <cell r="AD200">
            <v>1</v>
          </cell>
        </row>
        <row r="201">
          <cell r="A201">
            <v>44761</v>
          </cell>
          <cell r="B201">
            <v>1</v>
          </cell>
          <cell r="D201">
            <v>14</v>
          </cell>
          <cell r="E201">
            <v>15</v>
          </cell>
          <cell r="G201">
            <v>83</v>
          </cell>
          <cell r="I201">
            <v>27</v>
          </cell>
          <cell r="J201">
            <v>277</v>
          </cell>
          <cell r="L201">
            <v>331</v>
          </cell>
          <cell r="N201">
            <v>127</v>
          </cell>
          <cell r="P201">
            <v>1</v>
          </cell>
          <cell r="R201">
            <v>10</v>
          </cell>
          <cell r="S201">
            <v>8</v>
          </cell>
          <cell r="AA201">
            <v>9</v>
          </cell>
          <cell r="AC201">
            <v>3</v>
          </cell>
        </row>
        <row r="202">
          <cell r="A202">
            <v>44762</v>
          </cell>
          <cell r="D202">
            <v>14</v>
          </cell>
          <cell r="E202">
            <v>17</v>
          </cell>
          <cell r="F202">
            <v>2</v>
          </cell>
          <cell r="G202">
            <v>83</v>
          </cell>
          <cell r="I202">
            <v>23</v>
          </cell>
          <cell r="J202">
            <v>148</v>
          </cell>
          <cell r="L202">
            <v>334</v>
          </cell>
          <cell r="N202">
            <v>76</v>
          </cell>
          <cell r="R202">
            <v>7</v>
          </cell>
          <cell r="S202">
            <v>7</v>
          </cell>
          <cell r="V202">
            <v>1</v>
          </cell>
          <cell r="AA202">
            <v>39</v>
          </cell>
        </row>
        <row r="203">
          <cell r="A203">
            <v>44763</v>
          </cell>
          <cell r="D203">
            <v>10</v>
          </cell>
          <cell r="E203">
            <v>18</v>
          </cell>
          <cell r="F203">
            <v>4</v>
          </cell>
          <cell r="G203">
            <v>51</v>
          </cell>
          <cell r="I203">
            <v>21</v>
          </cell>
          <cell r="J203">
            <v>151</v>
          </cell>
          <cell r="L203">
            <v>556</v>
          </cell>
          <cell r="N203">
            <v>20</v>
          </cell>
          <cell r="R203">
            <v>5</v>
          </cell>
          <cell r="S203">
            <v>2</v>
          </cell>
          <cell r="AA203">
            <v>18</v>
          </cell>
          <cell r="AC203">
            <v>3</v>
          </cell>
        </row>
        <row r="204">
          <cell r="A204">
            <v>44764</v>
          </cell>
          <cell r="C204">
            <v>1</v>
          </cell>
          <cell r="D204">
            <v>9</v>
          </cell>
          <cell r="E204">
            <v>18</v>
          </cell>
          <cell r="F204">
            <v>4</v>
          </cell>
          <cell r="G204">
            <v>22</v>
          </cell>
          <cell r="I204">
            <v>31</v>
          </cell>
          <cell r="J204">
            <v>199</v>
          </cell>
          <cell r="L204">
            <v>353</v>
          </cell>
          <cell r="N204">
            <v>20</v>
          </cell>
          <cell r="R204">
            <v>6</v>
          </cell>
          <cell r="AA204">
            <v>21</v>
          </cell>
          <cell r="AC204">
            <v>7</v>
          </cell>
        </row>
        <row r="205">
          <cell r="A205">
            <v>44765</v>
          </cell>
          <cell r="D205">
            <v>3</v>
          </cell>
          <cell r="E205">
            <v>24</v>
          </cell>
          <cell r="F205">
            <v>4</v>
          </cell>
          <cell r="G205">
            <v>11</v>
          </cell>
          <cell r="I205">
            <v>20</v>
          </cell>
          <cell r="J205">
            <v>339</v>
          </cell>
          <cell r="L205">
            <v>344</v>
          </cell>
          <cell r="N205">
            <v>17</v>
          </cell>
          <cell r="R205">
            <v>10</v>
          </cell>
          <cell r="T205">
            <v>1</v>
          </cell>
          <cell r="AA205">
            <v>48</v>
          </cell>
          <cell r="AB205">
            <v>3</v>
          </cell>
          <cell r="AC205">
            <v>15</v>
          </cell>
        </row>
        <row r="206">
          <cell r="A206">
            <v>44766</v>
          </cell>
          <cell r="B206">
            <v>1</v>
          </cell>
          <cell r="C206">
            <v>1</v>
          </cell>
          <cell r="D206">
            <v>4</v>
          </cell>
          <cell r="E206">
            <v>18</v>
          </cell>
          <cell r="F206">
            <v>1</v>
          </cell>
          <cell r="G206">
            <v>4</v>
          </cell>
          <cell r="I206">
            <v>23</v>
          </cell>
          <cell r="J206">
            <v>228</v>
          </cell>
          <cell r="L206">
            <v>294</v>
          </cell>
          <cell r="N206">
            <v>15</v>
          </cell>
          <cell r="R206">
            <v>3</v>
          </cell>
          <cell r="X206">
            <v>13</v>
          </cell>
          <cell r="AA206">
            <v>26</v>
          </cell>
          <cell r="AB206">
            <v>1</v>
          </cell>
          <cell r="AC206">
            <v>9</v>
          </cell>
        </row>
        <row r="207">
          <cell r="A207">
            <v>44767</v>
          </cell>
          <cell r="B207">
            <v>1</v>
          </cell>
          <cell r="D207">
            <v>2</v>
          </cell>
          <cell r="E207">
            <v>19</v>
          </cell>
          <cell r="F207">
            <v>3</v>
          </cell>
          <cell r="I207">
            <v>22</v>
          </cell>
          <cell r="J207">
            <v>393</v>
          </cell>
          <cell r="L207">
            <v>326</v>
          </cell>
          <cell r="N207">
            <v>7</v>
          </cell>
          <cell r="R207">
            <v>2</v>
          </cell>
          <cell r="X207">
            <v>28</v>
          </cell>
          <cell r="AA207">
            <v>25</v>
          </cell>
          <cell r="AC207">
            <v>7</v>
          </cell>
          <cell r="AD207">
            <v>1</v>
          </cell>
        </row>
        <row r="208">
          <cell r="A208">
            <v>44768</v>
          </cell>
          <cell r="B208">
            <v>1</v>
          </cell>
          <cell r="D208">
            <v>1</v>
          </cell>
          <cell r="E208">
            <v>16</v>
          </cell>
          <cell r="F208">
            <v>1</v>
          </cell>
          <cell r="G208">
            <v>2</v>
          </cell>
          <cell r="I208">
            <v>5</v>
          </cell>
          <cell r="J208">
            <v>249</v>
          </cell>
          <cell r="L208">
            <v>222</v>
          </cell>
          <cell r="N208">
            <v>8</v>
          </cell>
          <cell r="R208">
            <v>7</v>
          </cell>
          <cell r="X208">
            <v>21</v>
          </cell>
          <cell r="AA208">
            <v>13</v>
          </cell>
          <cell r="AC208">
            <v>2</v>
          </cell>
          <cell r="AD208">
            <v>1</v>
          </cell>
          <cell r="AE208">
            <v>4</v>
          </cell>
        </row>
        <row r="209">
          <cell r="A209">
            <v>44769</v>
          </cell>
          <cell r="B209">
            <v>1</v>
          </cell>
          <cell r="D209">
            <v>3</v>
          </cell>
          <cell r="E209">
            <v>14</v>
          </cell>
          <cell r="G209">
            <v>3</v>
          </cell>
          <cell r="I209">
            <v>12</v>
          </cell>
          <cell r="J209">
            <v>148</v>
          </cell>
          <cell r="L209">
            <v>212</v>
          </cell>
          <cell r="N209">
            <v>11</v>
          </cell>
          <cell r="R209">
            <v>2</v>
          </cell>
          <cell r="X209">
            <v>49</v>
          </cell>
          <cell r="AA209">
            <v>23</v>
          </cell>
          <cell r="AE209">
            <v>2</v>
          </cell>
        </row>
        <row r="210">
          <cell r="A210">
            <v>44770</v>
          </cell>
          <cell r="D210">
            <v>2</v>
          </cell>
          <cell r="E210">
            <v>7</v>
          </cell>
          <cell r="G210">
            <v>1</v>
          </cell>
          <cell r="H210">
            <v>1</v>
          </cell>
          <cell r="I210">
            <v>6</v>
          </cell>
          <cell r="J210">
            <v>129</v>
          </cell>
          <cell r="L210">
            <v>119</v>
          </cell>
          <cell r="N210">
            <v>20</v>
          </cell>
          <cell r="R210">
            <v>4</v>
          </cell>
          <cell r="X210">
            <v>98</v>
          </cell>
          <cell r="AA210">
            <v>39</v>
          </cell>
          <cell r="AC210">
            <v>1</v>
          </cell>
        </row>
        <row r="211">
          <cell r="A211">
            <v>44771</v>
          </cell>
          <cell r="D211">
            <v>2</v>
          </cell>
          <cell r="E211">
            <v>5</v>
          </cell>
          <cell r="I211">
            <v>2</v>
          </cell>
          <cell r="J211">
            <v>98</v>
          </cell>
          <cell r="L211">
            <v>92</v>
          </cell>
          <cell r="N211">
            <v>22</v>
          </cell>
          <cell r="X211">
            <v>58</v>
          </cell>
          <cell r="AA211">
            <v>19</v>
          </cell>
          <cell r="AC211">
            <v>1</v>
          </cell>
        </row>
        <row r="212">
          <cell r="A212">
            <v>44772</v>
          </cell>
          <cell r="D212">
            <v>7</v>
          </cell>
          <cell r="E212">
            <v>6</v>
          </cell>
          <cell r="H212">
            <v>1</v>
          </cell>
          <cell r="I212">
            <v>3</v>
          </cell>
          <cell r="J212">
            <v>156</v>
          </cell>
          <cell r="L212">
            <v>110</v>
          </cell>
          <cell r="N212">
            <v>34</v>
          </cell>
          <cell r="P212">
            <v>1</v>
          </cell>
          <cell r="X212">
            <v>53</v>
          </cell>
          <cell r="AA212">
            <v>8</v>
          </cell>
          <cell r="AB212">
            <v>10</v>
          </cell>
        </row>
        <row r="213">
          <cell r="A213">
            <v>44773</v>
          </cell>
          <cell r="C213">
            <v>1</v>
          </cell>
          <cell r="D213">
            <v>1</v>
          </cell>
          <cell r="H213">
            <v>1</v>
          </cell>
          <cell r="I213">
            <v>2</v>
          </cell>
          <cell r="J213">
            <v>64</v>
          </cell>
          <cell r="L213">
            <v>70</v>
          </cell>
          <cell r="N213">
            <v>43</v>
          </cell>
          <cell r="V213">
            <v>4</v>
          </cell>
          <cell r="X213">
            <v>51</v>
          </cell>
          <cell r="AA213">
            <v>7</v>
          </cell>
          <cell r="AB213">
            <v>14</v>
          </cell>
          <cell r="AC213">
            <v>2</v>
          </cell>
        </row>
        <row r="214">
          <cell r="A214">
            <v>44774</v>
          </cell>
          <cell r="D214">
            <v>4</v>
          </cell>
          <cell r="H214">
            <v>7</v>
          </cell>
          <cell r="I214">
            <v>1</v>
          </cell>
          <cell r="J214">
            <v>98</v>
          </cell>
          <cell r="L214">
            <v>71</v>
          </cell>
          <cell r="N214">
            <v>68</v>
          </cell>
          <cell r="R214">
            <v>2</v>
          </cell>
          <cell r="V214">
            <v>15</v>
          </cell>
          <cell r="X214">
            <v>47</v>
          </cell>
          <cell r="AA214">
            <v>7</v>
          </cell>
          <cell r="AB214">
            <v>32</v>
          </cell>
        </row>
        <row r="215">
          <cell r="A215">
            <v>44775</v>
          </cell>
          <cell r="J215">
            <v>76</v>
          </cell>
          <cell r="L215">
            <v>37</v>
          </cell>
          <cell r="N215">
            <v>56</v>
          </cell>
          <cell r="Q215">
            <v>1</v>
          </cell>
          <cell r="R215">
            <v>1</v>
          </cell>
          <cell r="V215">
            <v>11</v>
          </cell>
          <cell r="X215">
            <v>39</v>
          </cell>
          <cell r="AA215">
            <v>6</v>
          </cell>
          <cell r="AB215">
            <v>31</v>
          </cell>
          <cell r="AC215">
            <v>1</v>
          </cell>
          <cell r="AD215">
            <v>4</v>
          </cell>
        </row>
        <row r="216">
          <cell r="A216">
            <v>44776</v>
          </cell>
          <cell r="C216">
            <v>1</v>
          </cell>
          <cell r="E216">
            <v>2</v>
          </cell>
          <cell r="F216">
            <v>2</v>
          </cell>
          <cell r="H216">
            <v>2</v>
          </cell>
          <cell r="J216">
            <v>63</v>
          </cell>
          <cell r="L216">
            <v>11</v>
          </cell>
          <cell r="N216">
            <v>43</v>
          </cell>
          <cell r="Q216">
            <v>1</v>
          </cell>
          <cell r="S216">
            <v>2</v>
          </cell>
          <cell r="V216">
            <v>14</v>
          </cell>
          <cell r="X216">
            <v>26</v>
          </cell>
          <cell r="AB216">
            <v>43</v>
          </cell>
          <cell r="AC216">
            <v>1</v>
          </cell>
          <cell r="AD216">
            <v>50</v>
          </cell>
        </row>
        <row r="217">
          <cell r="A217">
            <v>44777</v>
          </cell>
          <cell r="D217">
            <v>1</v>
          </cell>
          <cell r="F217">
            <v>12</v>
          </cell>
          <cell r="I217">
            <v>1</v>
          </cell>
          <cell r="J217">
            <v>37</v>
          </cell>
          <cell r="K217">
            <v>1</v>
          </cell>
          <cell r="L217">
            <v>10</v>
          </cell>
          <cell r="N217">
            <v>42</v>
          </cell>
          <cell r="Q217">
            <v>2</v>
          </cell>
          <cell r="R217">
            <v>1</v>
          </cell>
          <cell r="U217">
            <v>1</v>
          </cell>
          <cell r="V217">
            <v>3</v>
          </cell>
          <cell r="X217">
            <v>16</v>
          </cell>
          <cell r="AA217">
            <v>1</v>
          </cell>
          <cell r="AB217">
            <v>41</v>
          </cell>
          <cell r="AD217">
            <v>57</v>
          </cell>
        </row>
        <row r="218">
          <cell r="A218">
            <v>44778</v>
          </cell>
          <cell r="D218">
            <v>1</v>
          </cell>
          <cell r="F218">
            <v>5</v>
          </cell>
          <cell r="G218">
            <v>2</v>
          </cell>
          <cell r="I218">
            <v>13</v>
          </cell>
          <cell r="J218">
            <v>30</v>
          </cell>
          <cell r="K218">
            <v>1</v>
          </cell>
          <cell r="L218">
            <v>2</v>
          </cell>
          <cell r="N218">
            <v>28</v>
          </cell>
          <cell r="Q218">
            <v>8</v>
          </cell>
          <cell r="S218">
            <v>2</v>
          </cell>
          <cell r="V218">
            <v>26</v>
          </cell>
          <cell r="X218">
            <v>7</v>
          </cell>
          <cell r="AA218">
            <v>1</v>
          </cell>
          <cell r="AB218">
            <v>48</v>
          </cell>
          <cell r="AD218">
            <v>95</v>
          </cell>
        </row>
        <row r="219">
          <cell r="A219">
            <v>44779</v>
          </cell>
          <cell r="B219">
            <v>1</v>
          </cell>
          <cell r="F219">
            <v>7</v>
          </cell>
          <cell r="I219">
            <v>17</v>
          </cell>
          <cell r="J219">
            <v>22</v>
          </cell>
          <cell r="K219">
            <v>1</v>
          </cell>
          <cell r="L219">
            <v>7</v>
          </cell>
          <cell r="N219">
            <v>31</v>
          </cell>
          <cell r="P219">
            <v>4</v>
          </cell>
          <cell r="Q219">
            <v>5</v>
          </cell>
          <cell r="S219">
            <v>2</v>
          </cell>
          <cell r="V219">
            <v>16</v>
          </cell>
          <cell r="X219">
            <v>4</v>
          </cell>
          <cell r="AA219">
            <v>2</v>
          </cell>
          <cell r="AB219">
            <v>60</v>
          </cell>
          <cell r="AD219">
            <v>71</v>
          </cell>
        </row>
        <row r="220">
          <cell r="A220">
            <v>44780</v>
          </cell>
          <cell r="C220">
            <v>2</v>
          </cell>
          <cell r="F220">
            <v>4</v>
          </cell>
          <cell r="I220">
            <v>43</v>
          </cell>
          <cell r="J220">
            <v>10</v>
          </cell>
          <cell r="L220">
            <v>3</v>
          </cell>
          <cell r="N220">
            <v>25</v>
          </cell>
          <cell r="Q220">
            <v>15</v>
          </cell>
          <cell r="S220">
            <v>2</v>
          </cell>
          <cell r="V220">
            <v>14</v>
          </cell>
          <cell r="X220">
            <v>3</v>
          </cell>
          <cell r="AA220">
            <v>1</v>
          </cell>
          <cell r="AB220">
            <v>80</v>
          </cell>
          <cell r="AD220">
            <v>82</v>
          </cell>
          <cell r="AE220">
            <v>10</v>
          </cell>
        </row>
        <row r="221">
          <cell r="A221">
            <v>44781</v>
          </cell>
          <cell r="D221">
            <v>1</v>
          </cell>
          <cell r="F221">
            <v>4</v>
          </cell>
          <cell r="G221">
            <v>1</v>
          </cell>
          <cell r="H221">
            <v>5</v>
          </cell>
          <cell r="I221">
            <v>37</v>
          </cell>
          <cell r="J221">
            <v>25</v>
          </cell>
          <cell r="L221">
            <v>2</v>
          </cell>
          <cell r="N221">
            <v>5</v>
          </cell>
          <cell r="Q221">
            <v>1</v>
          </cell>
          <cell r="R221">
            <v>1</v>
          </cell>
          <cell r="S221">
            <v>5</v>
          </cell>
          <cell r="V221">
            <v>18</v>
          </cell>
          <cell r="AA221">
            <v>3</v>
          </cell>
          <cell r="AB221">
            <v>153</v>
          </cell>
          <cell r="AD221">
            <v>67</v>
          </cell>
          <cell r="AE221">
            <v>4</v>
          </cell>
          <cell r="AF221">
            <v>22</v>
          </cell>
        </row>
        <row r="222">
          <cell r="A222">
            <v>44782</v>
          </cell>
          <cell r="F222">
            <v>3</v>
          </cell>
          <cell r="G222">
            <v>2</v>
          </cell>
          <cell r="H222">
            <v>9</v>
          </cell>
          <cell r="I222">
            <v>46</v>
          </cell>
          <cell r="J222">
            <v>11</v>
          </cell>
          <cell r="K222">
            <v>2</v>
          </cell>
          <cell r="L222">
            <v>1</v>
          </cell>
          <cell r="N222">
            <v>10</v>
          </cell>
          <cell r="P222">
            <v>2</v>
          </cell>
          <cell r="Q222">
            <v>3</v>
          </cell>
          <cell r="R222">
            <v>5</v>
          </cell>
          <cell r="V222">
            <v>32</v>
          </cell>
          <cell r="AA222">
            <v>2</v>
          </cell>
          <cell r="AB222">
            <v>143</v>
          </cell>
          <cell r="AC222">
            <v>1</v>
          </cell>
          <cell r="AD222">
            <v>49</v>
          </cell>
          <cell r="AE222">
            <v>25</v>
          </cell>
          <cell r="AF222">
            <v>27</v>
          </cell>
        </row>
        <row r="223">
          <cell r="A223">
            <v>44783</v>
          </cell>
          <cell r="C223">
            <v>2</v>
          </cell>
          <cell r="F223">
            <v>4</v>
          </cell>
          <cell r="H223">
            <v>4</v>
          </cell>
          <cell r="I223">
            <v>29</v>
          </cell>
          <cell r="J223">
            <v>5</v>
          </cell>
          <cell r="L223">
            <v>7</v>
          </cell>
          <cell r="N223">
            <v>1</v>
          </cell>
          <cell r="Q223">
            <v>2</v>
          </cell>
          <cell r="R223">
            <v>18</v>
          </cell>
          <cell r="S223">
            <v>1</v>
          </cell>
          <cell r="V223">
            <v>10</v>
          </cell>
          <cell r="Z223">
            <v>1</v>
          </cell>
          <cell r="AA223">
            <v>5</v>
          </cell>
          <cell r="AB223">
            <v>380</v>
          </cell>
          <cell r="AD223">
            <v>59</v>
          </cell>
          <cell r="AE223">
            <v>8</v>
          </cell>
          <cell r="AF223">
            <v>68</v>
          </cell>
        </row>
        <row r="224">
          <cell r="A224">
            <v>44784</v>
          </cell>
          <cell r="E224">
            <v>7</v>
          </cell>
          <cell r="F224">
            <v>2</v>
          </cell>
          <cell r="H224">
            <v>5</v>
          </cell>
          <cell r="I224">
            <v>29</v>
          </cell>
          <cell r="J224">
            <v>5</v>
          </cell>
          <cell r="L224">
            <v>1</v>
          </cell>
          <cell r="N224">
            <v>2</v>
          </cell>
          <cell r="P224">
            <v>4</v>
          </cell>
          <cell r="R224">
            <v>11</v>
          </cell>
          <cell r="V224">
            <v>16</v>
          </cell>
          <cell r="Z224">
            <v>2</v>
          </cell>
          <cell r="AA224">
            <v>1</v>
          </cell>
          <cell r="AB224">
            <v>453</v>
          </cell>
          <cell r="AC224">
            <v>1</v>
          </cell>
          <cell r="AD224">
            <v>60</v>
          </cell>
          <cell r="AE224">
            <v>6</v>
          </cell>
          <cell r="AF224">
            <v>27</v>
          </cell>
        </row>
        <row r="225">
          <cell r="A225">
            <v>44785</v>
          </cell>
          <cell r="B225">
            <v>1</v>
          </cell>
          <cell r="E225">
            <v>4</v>
          </cell>
          <cell r="F225">
            <v>6</v>
          </cell>
          <cell r="G225">
            <v>1</v>
          </cell>
          <cell r="H225">
            <v>2</v>
          </cell>
          <cell r="I225">
            <v>21</v>
          </cell>
          <cell r="J225">
            <v>4</v>
          </cell>
          <cell r="L225">
            <v>5</v>
          </cell>
          <cell r="R225">
            <v>37</v>
          </cell>
          <cell r="V225">
            <v>9</v>
          </cell>
          <cell r="W225">
            <v>5</v>
          </cell>
          <cell r="Z225">
            <v>1</v>
          </cell>
          <cell r="AA225">
            <v>8</v>
          </cell>
          <cell r="AB225">
            <v>384</v>
          </cell>
          <cell r="AD225">
            <v>39</v>
          </cell>
          <cell r="AE225">
            <v>9</v>
          </cell>
          <cell r="AF225">
            <v>32</v>
          </cell>
        </row>
        <row r="226">
          <cell r="A226">
            <v>44786</v>
          </cell>
          <cell r="E226">
            <v>5</v>
          </cell>
          <cell r="F226">
            <v>3</v>
          </cell>
          <cell r="H226">
            <v>4</v>
          </cell>
          <cell r="I226">
            <v>13</v>
          </cell>
          <cell r="J226">
            <v>2</v>
          </cell>
          <cell r="L226">
            <v>1</v>
          </cell>
          <cell r="Q226">
            <v>3</v>
          </cell>
          <cell r="R226">
            <v>49</v>
          </cell>
          <cell r="V226">
            <v>7</v>
          </cell>
          <cell r="W226">
            <v>5</v>
          </cell>
          <cell r="Z226">
            <v>1</v>
          </cell>
          <cell r="AA226">
            <v>5</v>
          </cell>
          <cell r="AB226">
            <v>450</v>
          </cell>
          <cell r="AD226">
            <v>45</v>
          </cell>
          <cell r="AE226">
            <v>4</v>
          </cell>
          <cell r="AF226">
            <v>502</v>
          </cell>
        </row>
        <row r="227">
          <cell r="A227">
            <v>44787</v>
          </cell>
          <cell r="B227">
            <v>1</v>
          </cell>
          <cell r="E227">
            <v>6</v>
          </cell>
          <cell r="F227">
            <v>3</v>
          </cell>
          <cell r="H227">
            <v>7</v>
          </cell>
          <cell r="I227">
            <v>14</v>
          </cell>
          <cell r="J227">
            <v>3</v>
          </cell>
          <cell r="N227">
            <v>2</v>
          </cell>
          <cell r="Q227">
            <v>4</v>
          </cell>
          <cell r="R227">
            <v>53</v>
          </cell>
          <cell r="V227">
            <v>11</v>
          </cell>
          <cell r="W227">
            <v>8</v>
          </cell>
          <cell r="Z227">
            <v>4</v>
          </cell>
          <cell r="AA227">
            <v>7</v>
          </cell>
          <cell r="AB227">
            <v>383</v>
          </cell>
          <cell r="AC227">
            <v>1</v>
          </cell>
          <cell r="AD227">
            <v>30</v>
          </cell>
          <cell r="AE227">
            <v>10</v>
          </cell>
          <cell r="AF227">
            <v>568</v>
          </cell>
        </row>
        <row r="228">
          <cell r="A228">
            <v>44788</v>
          </cell>
          <cell r="B228">
            <v>4</v>
          </cell>
          <cell r="C228">
            <v>4</v>
          </cell>
          <cell r="E228">
            <v>3</v>
          </cell>
          <cell r="F228">
            <v>1</v>
          </cell>
          <cell r="G228">
            <v>1</v>
          </cell>
          <cell r="H228">
            <v>12</v>
          </cell>
          <cell r="I228">
            <v>14</v>
          </cell>
          <cell r="J228">
            <v>1</v>
          </cell>
          <cell r="K228">
            <v>2</v>
          </cell>
          <cell r="L228">
            <v>1</v>
          </cell>
          <cell r="N228">
            <v>3</v>
          </cell>
          <cell r="Q228">
            <v>1</v>
          </cell>
          <cell r="R228">
            <v>30</v>
          </cell>
          <cell r="V228">
            <v>1</v>
          </cell>
          <cell r="W228">
            <v>10</v>
          </cell>
          <cell r="X228">
            <v>4</v>
          </cell>
          <cell r="Z228">
            <v>3</v>
          </cell>
          <cell r="AA228">
            <v>13</v>
          </cell>
          <cell r="AB228">
            <v>306</v>
          </cell>
          <cell r="AC228">
            <v>3</v>
          </cell>
          <cell r="AD228">
            <v>42</v>
          </cell>
          <cell r="AE228">
            <v>11</v>
          </cell>
          <cell r="AF228">
            <v>655</v>
          </cell>
        </row>
        <row r="229">
          <cell r="A229">
            <v>44789</v>
          </cell>
          <cell r="B229">
            <v>11</v>
          </cell>
          <cell r="C229">
            <v>2</v>
          </cell>
          <cell r="E229">
            <v>4</v>
          </cell>
          <cell r="F229">
            <v>3</v>
          </cell>
          <cell r="H229">
            <v>8</v>
          </cell>
          <cell r="I229">
            <v>8</v>
          </cell>
          <cell r="J229">
            <v>2</v>
          </cell>
          <cell r="K229">
            <v>1</v>
          </cell>
          <cell r="L229">
            <v>1</v>
          </cell>
          <cell r="N229">
            <v>2</v>
          </cell>
          <cell r="R229">
            <v>18</v>
          </cell>
          <cell r="V229">
            <v>2</v>
          </cell>
          <cell r="W229">
            <v>15</v>
          </cell>
          <cell r="X229">
            <v>3</v>
          </cell>
          <cell r="Z229">
            <v>16</v>
          </cell>
          <cell r="AA229">
            <v>6</v>
          </cell>
          <cell r="AB229">
            <v>363</v>
          </cell>
          <cell r="AC229">
            <v>5</v>
          </cell>
          <cell r="AD229">
            <v>36</v>
          </cell>
          <cell r="AE229">
            <v>6</v>
          </cell>
          <cell r="AF229">
            <v>681</v>
          </cell>
        </row>
        <row r="230">
          <cell r="A230">
            <v>44790</v>
          </cell>
          <cell r="B230">
            <v>1</v>
          </cell>
          <cell r="C230">
            <v>4</v>
          </cell>
          <cell r="E230">
            <v>4</v>
          </cell>
          <cell r="F230">
            <v>4</v>
          </cell>
          <cell r="H230">
            <v>10</v>
          </cell>
          <cell r="I230">
            <v>5</v>
          </cell>
          <cell r="J230">
            <v>5</v>
          </cell>
          <cell r="K230">
            <v>2</v>
          </cell>
          <cell r="L230">
            <v>3</v>
          </cell>
          <cell r="N230">
            <v>11</v>
          </cell>
          <cell r="P230">
            <v>1</v>
          </cell>
          <cell r="Q230">
            <v>6</v>
          </cell>
          <cell r="R230">
            <v>13</v>
          </cell>
          <cell r="U230">
            <v>3</v>
          </cell>
          <cell r="V230">
            <v>6</v>
          </cell>
          <cell r="W230">
            <v>59</v>
          </cell>
          <cell r="X230">
            <v>3</v>
          </cell>
          <cell r="Z230">
            <v>64</v>
          </cell>
          <cell r="AA230">
            <v>4</v>
          </cell>
          <cell r="AB230">
            <v>264</v>
          </cell>
          <cell r="AC230">
            <v>4</v>
          </cell>
          <cell r="AD230">
            <v>21</v>
          </cell>
          <cell r="AF230">
            <v>887</v>
          </cell>
        </row>
        <row r="231">
          <cell r="A231">
            <v>44791</v>
          </cell>
          <cell r="B231">
            <v>5</v>
          </cell>
          <cell r="E231">
            <v>3</v>
          </cell>
          <cell r="F231">
            <v>11</v>
          </cell>
          <cell r="H231">
            <v>16</v>
          </cell>
          <cell r="I231">
            <v>5</v>
          </cell>
          <cell r="J231">
            <v>6</v>
          </cell>
          <cell r="K231">
            <v>1</v>
          </cell>
          <cell r="L231">
            <v>6</v>
          </cell>
          <cell r="N231">
            <v>9</v>
          </cell>
          <cell r="Q231">
            <v>11</v>
          </cell>
          <cell r="R231">
            <v>13</v>
          </cell>
          <cell r="V231">
            <v>4</v>
          </cell>
          <cell r="W231">
            <v>35</v>
          </cell>
          <cell r="X231">
            <v>3</v>
          </cell>
          <cell r="Y231">
            <v>6</v>
          </cell>
          <cell r="Z231">
            <v>71</v>
          </cell>
          <cell r="AA231">
            <v>8</v>
          </cell>
          <cell r="AB231">
            <v>254</v>
          </cell>
          <cell r="AC231">
            <v>1</v>
          </cell>
          <cell r="AD231">
            <v>9</v>
          </cell>
          <cell r="AE231">
            <v>14</v>
          </cell>
          <cell r="AF231">
            <v>677</v>
          </cell>
        </row>
        <row r="232">
          <cell r="A232">
            <v>44792</v>
          </cell>
          <cell r="B232">
            <v>1</v>
          </cell>
          <cell r="C232">
            <v>4</v>
          </cell>
          <cell r="E232">
            <v>3</v>
          </cell>
          <cell r="F232">
            <v>18</v>
          </cell>
          <cell r="H232">
            <v>9</v>
          </cell>
          <cell r="I232">
            <v>12</v>
          </cell>
          <cell r="J232">
            <v>3</v>
          </cell>
          <cell r="L232">
            <v>5</v>
          </cell>
          <cell r="N232">
            <v>5</v>
          </cell>
          <cell r="O232">
            <v>5</v>
          </cell>
          <cell r="P232">
            <v>1</v>
          </cell>
          <cell r="Q232">
            <v>5</v>
          </cell>
          <cell r="R232">
            <v>8</v>
          </cell>
          <cell r="T232">
            <v>5</v>
          </cell>
          <cell r="U232">
            <v>1</v>
          </cell>
          <cell r="V232">
            <v>1</v>
          </cell>
          <cell r="W232">
            <v>40</v>
          </cell>
          <cell r="X232">
            <v>1</v>
          </cell>
          <cell r="Y232">
            <v>1</v>
          </cell>
          <cell r="Z232">
            <v>57</v>
          </cell>
          <cell r="AA232">
            <v>12</v>
          </cell>
          <cell r="AB232">
            <v>204</v>
          </cell>
          <cell r="AC232">
            <v>5</v>
          </cell>
          <cell r="AD232">
            <v>9</v>
          </cell>
          <cell r="AE232">
            <v>15</v>
          </cell>
          <cell r="AF232">
            <v>521</v>
          </cell>
        </row>
        <row r="233">
          <cell r="A233">
            <v>44793</v>
          </cell>
          <cell r="B233">
            <v>1</v>
          </cell>
          <cell r="E233">
            <v>2</v>
          </cell>
          <cell r="F233">
            <v>12</v>
          </cell>
          <cell r="H233">
            <v>3</v>
          </cell>
          <cell r="I233">
            <v>15</v>
          </cell>
          <cell r="J233">
            <v>4</v>
          </cell>
          <cell r="K233">
            <v>1</v>
          </cell>
          <cell r="L233">
            <v>16</v>
          </cell>
          <cell r="N233">
            <v>12</v>
          </cell>
          <cell r="O233">
            <v>8</v>
          </cell>
          <cell r="P233">
            <v>3</v>
          </cell>
          <cell r="Q233">
            <v>4</v>
          </cell>
          <cell r="R233">
            <v>8</v>
          </cell>
          <cell r="T233">
            <v>12</v>
          </cell>
          <cell r="U233">
            <v>1</v>
          </cell>
          <cell r="V233">
            <v>7</v>
          </cell>
          <cell r="W233">
            <v>82</v>
          </cell>
          <cell r="Y233">
            <v>5</v>
          </cell>
          <cell r="Z233">
            <v>66</v>
          </cell>
          <cell r="AA233">
            <v>13</v>
          </cell>
          <cell r="AB233">
            <v>210</v>
          </cell>
          <cell r="AC233">
            <v>4</v>
          </cell>
          <cell r="AD233">
            <v>2</v>
          </cell>
          <cell r="AE233">
            <v>16</v>
          </cell>
          <cell r="AF233">
            <v>582</v>
          </cell>
        </row>
        <row r="234">
          <cell r="A234">
            <v>44794</v>
          </cell>
          <cell r="E234">
            <v>4</v>
          </cell>
          <cell r="F234">
            <v>21</v>
          </cell>
          <cell r="G234">
            <v>5</v>
          </cell>
          <cell r="H234">
            <v>8</v>
          </cell>
          <cell r="I234">
            <v>20</v>
          </cell>
          <cell r="J234">
            <v>4</v>
          </cell>
          <cell r="K234">
            <v>2</v>
          </cell>
          <cell r="L234">
            <v>11</v>
          </cell>
          <cell r="N234">
            <v>18</v>
          </cell>
          <cell r="O234">
            <v>6</v>
          </cell>
          <cell r="P234">
            <v>1</v>
          </cell>
          <cell r="Q234">
            <v>6</v>
          </cell>
          <cell r="R234">
            <v>8</v>
          </cell>
          <cell r="T234">
            <v>4</v>
          </cell>
          <cell r="V234">
            <v>4</v>
          </cell>
          <cell r="W234">
            <v>64</v>
          </cell>
          <cell r="Y234">
            <v>2</v>
          </cell>
          <cell r="Z234">
            <v>89</v>
          </cell>
          <cell r="AA234">
            <v>8</v>
          </cell>
          <cell r="AB234">
            <v>199</v>
          </cell>
          <cell r="AC234">
            <v>5</v>
          </cell>
          <cell r="AD234">
            <v>4</v>
          </cell>
          <cell r="AE234">
            <v>11</v>
          </cell>
          <cell r="AF234">
            <v>546</v>
          </cell>
        </row>
        <row r="235">
          <cell r="A235">
            <v>44795</v>
          </cell>
          <cell r="E235">
            <v>4</v>
          </cell>
          <cell r="F235">
            <v>31</v>
          </cell>
          <cell r="G235">
            <v>8</v>
          </cell>
          <cell r="H235">
            <v>4</v>
          </cell>
          <cell r="I235">
            <v>6</v>
          </cell>
          <cell r="J235">
            <v>5</v>
          </cell>
          <cell r="K235">
            <v>1</v>
          </cell>
          <cell r="L235">
            <v>23</v>
          </cell>
          <cell r="N235">
            <v>14</v>
          </cell>
          <cell r="O235">
            <v>5</v>
          </cell>
          <cell r="P235">
            <v>2</v>
          </cell>
          <cell r="R235">
            <v>8</v>
          </cell>
          <cell r="S235">
            <v>1</v>
          </cell>
          <cell r="T235">
            <v>2</v>
          </cell>
          <cell r="V235">
            <v>2</v>
          </cell>
          <cell r="W235">
            <v>53</v>
          </cell>
          <cell r="Y235">
            <v>3</v>
          </cell>
          <cell r="Z235">
            <v>88</v>
          </cell>
          <cell r="AA235">
            <v>10</v>
          </cell>
          <cell r="AB235">
            <v>180</v>
          </cell>
          <cell r="AC235">
            <v>2</v>
          </cell>
          <cell r="AD235">
            <v>2</v>
          </cell>
          <cell r="AE235">
            <v>11</v>
          </cell>
          <cell r="AF235">
            <v>540</v>
          </cell>
        </row>
        <row r="236">
          <cell r="A236">
            <v>44796</v>
          </cell>
          <cell r="F236">
            <v>40</v>
          </cell>
          <cell r="G236">
            <v>7</v>
          </cell>
          <cell r="H236">
            <v>1</v>
          </cell>
          <cell r="I236">
            <v>12</v>
          </cell>
          <cell r="J236">
            <v>6</v>
          </cell>
          <cell r="K236">
            <v>2</v>
          </cell>
          <cell r="L236">
            <v>6</v>
          </cell>
          <cell r="N236">
            <v>19</v>
          </cell>
          <cell r="O236">
            <v>6</v>
          </cell>
          <cell r="P236">
            <v>1</v>
          </cell>
          <cell r="Q236">
            <v>10</v>
          </cell>
          <cell r="R236">
            <v>28</v>
          </cell>
          <cell r="T236">
            <v>11</v>
          </cell>
          <cell r="V236">
            <v>1</v>
          </cell>
          <cell r="W236">
            <v>43</v>
          </cell>
          <cell r="Y236">
            <v>2</v>
          </cell>
          <cell r="Z236">
            <v>38</v>
          </cell>
          <cell r="AA236">
            <v>35</v>
          </cell>
          <cell r="AB236">
            <v>174</v>
          </cell>
          <cell r="AC236">
            <v>3</v>
          </cell>
          <cell r="AD236">
            <v>1</v>
          </cell>
          <cell r="AE236">
            <v>11</v>
          </cell>
          <cell r="AF236">
            <v>565</v>
          </cell>
        </row>
        <row r="237">
          <cell r="A237">
            <v>44797</v>
          </cell>
          <cell r="B237">
            <v>1</v>
          </cell>
          <cell r="D237">
            <v>2</v>
          </cell>
          <cell r="E237">
            <v>6</v>
          </cell>
          <cell r="F237">
            <v>43</v>
          </cell>
          <cell r="H237">
            <v>1</v>
          </cell>
          <cell r="I237">
            <v>6</v>
          </cell>
          <cell r="J237">
            <v>8</v>
          </cell>
          <cell r="K237">
            <v>1</v>
          </cell>
          <cell r="L237">
            <v>2</v>
          </cell>
          <cell r="N237">
            <v>25</v>
          </cell>
          <cell r="O237">
            <v>1</v>
          </cell>
          <cell r="P237">
            <v>4</v>
          </cell>
          <cell r="Q237">
            <v>2</v>
          </cell>
          <cell r="R237">
            <v>26</v>
          </cell>
          <cell r="T237">
            <v>9</v>
          </cell>
          <cell r="W237">
            <v>116</v>
          </cell>
          <cell r="X237">
            <v>1</v>
          </cell>
          <cell r="Y237">
            <v>4</v>
          </cell>
          <cell r="Z237">
            <v>65</v>
          </cell>
          <cell r="AA237">
            <v>35</v>
          </cell>
          <cell r="AB237">
            <v>166</v>
          </cell>
          <cell r="AC237">
            <v>3</v>
          </cell>
          <cell r="AD237">
            <v>2</v>
          </cell>
          <cell r="AE237">
            <v>13</v>
          </cell>
          <cell r="AF237">
            <v>558</v>
          </cell>
        </row>
        <row r="238">
          <cell r="A238">
            <v>44798</v>
          </cell>
          <cell r="B238">
            <v>5</v>
          </cell>
          <cell r="D238">
            <v>1</v>
          </cell>
          <cell r="E238">
            <v>2</v>
          </cell>
          <cell r="F238">
            <v>18</v>
          </cell>
          <cell r="H238">
            <v>3</v>
          </cell>
          <cell r="I238">
            <v>8</v>
          </cell>
          <cell r="J238">
            <v>13</v>
          </cell>
          <cell r="L238">
            <v>8</v>
          </cell>
          <cell r="N238">
            <v>68</v>
          </cell>
          <cell r="O238">
            <v>5</v>
          </cell>
          <cell r="P238">
            <v>1</v>
          </cell>
          <cell r="Q238">
            <v>12</v>
          </cell>
          <cell r="R238">
            <v>21</v>
          </cell>
          <cell r="T238">
            <v>11</v>
          </cell>
          <cell r="U238">
            <v>1</v>
          </cell>
          <cell r="V238">
            <v>1</v>
          </cell>
          <cell r="W238">
            <v>105</v>
          </cell>
          <cell r="X238">
            <v>6</v>
          </cell>
          <cell r="Y238">
            <v>1</v>
          </cell>
          <cell r="Z238">
            <v>55</v>
          </cell>
          <cell r="AA238">
            <v>56</v>
          </cell>
          <cell r="AB238">
            <v>133</v>
          </cell>
          <cell r="AC238">
            <v>1</v>
          </cell>
          <cell r="AD238">
            <v>2</v>
          </cell>
          <cell r="AE238">
            <v>13</v>
          </cell>
          <cell r="AF238">
            <v>503</v>
          </cell>
        </row>
        <row r="239">
          <cell r="A239">
            <v>44799</v>
          </cell>
          <cell r="B239">
            <v>4</v>
          </cell>
          <cell r="C239">
            <v>3</v>
          </cell>
          <cell r="D239">
            <v>2</v>
          </cell>
          <cell r="E239">
            <v>8</v>
          </cell>
          <cell r="F239">
            <v>32</v>
          </cell>
          <cell r="G239">
            <v>1</v>
          </cell>
          <cell r="H239">
            <v>17</v>
          </cell>
          <cell r="I239">
            <v>8</v>
          </cell>
          <cell r="J239">
            <v>8</v>
          </cell>
          <cell r="L239">
            <v>41</v>
          </cell>
          <cell r="N239">
            <v>46</v>
          </cell>
          <cell r="O239">
            <v>13</v>
          </cell>
          <cell r="P239">
            <v>4</v>
          </cell>
          <cell r="Q239">
            <v>15</v>
          </cell>
          <cell r="R239">
            <v>24</v>
          </cell>
          <cell r="T239">
            <v>9</v>
          </cell>
          <cell r="U239">
            <v>1</v>
          </cell>
          <cell r="V239">
            <v>7</v>
          </cell>
          <cell r="W239">
            <v>67</v>
          </cell>
          <cell r="X239">
            <v>4</v>
          </cell>
          <cell r="Y239">
            <v>15</v>
          </cell>
          <cell r="Z239">
            <v>27</v>
          </cell>
          <cell r="AA239">
            <v>93</v>
          </cell>
          <cell r="AB239">
            <v>88</v>
          </cell>
          <cell r="AC239">
            <v>1</v>
          </cell>
          <cell r="AD239">
            <v>6</v>
          </cell>
          <cell r="AE239">
            <v>16</v>
          </cell>
          <cell r="AF239">
            <v>441</v>
          </cell>
        </row>
        <row r="240">
          <cell r="A240">
            <v>44800</v>
          </cell>
          <cell r="B240">
            <v>2</v>
          </cell>
          <cell r="C240">
            <v>3</v>
          </cell>
          <cell r="D240">
            <v>7</v>
          </cell>
          <cell r="E240">
            <v>8</v>
          </cell>
          <cell r="F240">
            <v>16</v>
          </cell>
          <cell r="H240">
            <v>5</v>
          </cell>
          <cell r="I240">
            <v>16</v>
          </cell>
          <cell r="J240">
            <v>8</v>
          </cell>
          <cell r="L240">
            <v>21</v>
          </cell>
          <cell r="N240">
            <v>54</v>
          </cell>
          <cell r="O240">
            <v>8</v>
          </cell>
          <cell r="Q240">
            <v>29</v>
          </cell>
          <cell r="R240">
            <v>24</v>
          </cell>
          <cell r="T240">
            <v>10</v>
          </cell>
          <cell r="V240">
            <v>7</v>
          </cell>
          <cell r="W240">
            <v>76</v>
          </cell>
          <cell r="X240">
            <v>2</v>
          </cell>
          <cell r="Y240">
            <v>8</v>
          </cell>
          <cell r="Z240">
            <v>57</v>
          </cell>
          <cell r="AA240">
            <v>139</v>
          </cell>
          <cell r="AB240">
            <v>60</v>
          </cell>
          <cell r="AD240">
            <v>1</v>
          </cell>
          <cell r="AE240">
            <v>12</v>
          </cell>
          <cell r="AF240">
            <v>498</v>
          </cell>
        </row>
        <row r="241">
          <cell r="A241">
            <v>44801</v>
          </cell>
          <cell r="B241">
            <v>6</v>
          </cell>
          <cell r="C241">
            <v>1</v>
          </cell>
          <cell r="D241">
            <v>31</v>
          </cell>
          <cell r="F241">
            <v>27</v>
          </cell>
          <cell r="G241">
            <v>1</v>
          </cell>
          <cell r="H241">
            <v>1</v>
          </cell>
          <cell r="I241">
            <v>12</v>
          </cell>
          <cell r="J241">
            <v>8</v>
          </cell>
          <cell r="L241">
            <v>30</v>
          </cell>
          <cell r="N241">
            <v>98</v>
          </cell>
          <cell r="O241">
            <v>44</v>
          </cell>
          <cell r="P241">
            <v>5</v>
          </cell>
          <cell r="Q241">
            <v>45</v>
          </cell>
          <cell r="R241">
            <v>32</v>
          </cell>
          <cell r="T241">
            <v>28</v>
          </cell>
          <cell r="V241">
            <v>3</v>
          </cell>
          <cell r="W241">
            <v>79</v>
          </cell>
          <cell r="X241">
            <v>10</v>
          </cell>
          <cell r="Y241">
            <v>7</v>
          </cell>
          <cell r="Z241">
            <v>25</v>
          </cell>
          <cell r="AA241">
            <v>235</v>
          </cell>
          <cell r="AB241">
            <v>52</v>
          </cell>
          <cell r="AC241">
            <v>2</v>
          </cell>
          <cell r="AE241">
            <v>27</v>
          </cell>
          <cell r="AF241">
            <v>593</v>
          </cell>
        </row>
        <row r="242">
          <cell r="A242">
            <v>44802</v>
          </cell>
          <cell r="B242">
            <v>3</v>
          </cell>
          <cell r="D242">
            <v>51</v>
          </cell>
          <cell r="F242">
            <v>23</v>
          </cell>
          <cell r="G242">
            <v>1</v>
          </cell>
          <cell r="I242">
            <v>36</v>
          </cell>
          <cell r="J242">
            <v>14</v>
          </cell>
          <cell r="L242">
            <v>37</v>
          </cell>
          <cell r="N242">
            <v>29</v>
          </cell>
          <cell r="O242">
            <v>74</v>
          </cell>
          <cell r="P242">
            <v>3</v>
          </cell>
          <cell r="Q242">
            <v>35</v>
          </cell>
          <cell r="R242">
            <v>35</v>
          </cell>
          <cell r="T242">
            <v>51</v>
          </cell>
          <cell r="V242">
            <v>26</v>
          </cell>
          <cell r="W242">
            <v>104</v>
          </cell>
          <cell r="X242">
            <v>16</v>
          </cell>
          <cell r="Y242">
            <v>4</v>
          </cell>
          <cell r="Z242">
            <v>22</v>
          </cell>
          <cell r="AA242">
            <v>261</v>
          </cell>
          <cell r="AB242">
            <v>41</v>
          </cell>
          <cell r="AE242">
            <v>32</v>
          </cell>
          <cell r="AF242">
            <v>690</v>
          </cell>
        </row>
        <row r="243">
          <cell r="A243">
            <v>44803</v>
          </cell>
          <cell r="B243">
            <v>3</v>
          </cell>
          <cell r="C243">
            <v>1</v>
          </cell>
          <cell r="D243">
            <v>57</v>
          </cell>
          <cell r="E243">
            <v>2</v>
          </cell>
          <cell r="F243">
            <v>12</v>
          </cell>
          <cell r="G243">
            <v>1</v>
          </cell>
          <cell r="I243">
            <v>46</v>
          </cell>
          <cell r="J243">
            <v>7</v>
          </cell>
          <cell r="L243">
            <v>42</v>
          </cell>
          <cell r="N243">
            <v>28</v>
          </cell>
          <cell r="O243">
            <v>82</v>
          </cell>
          <cell r="P243">
            <v>1</v>
          </cell>
          <cell r="Q243">
            <v>38</v>
          </cell>
          <cell r="R243">
            <v>27</v>
          </cell>
          <cell r="T243">
            <v>75</v>
          </cell>
          <cell r="V243">
            <v>11</v>
          </cell>
          <cell r="W243">
            <v>88</v>
          </cell>
          <cell r="X243">
            <v>4</v>
          </cell>
          <cell r="Y243">
            <v>3</v>
          </cell>
          <cell r="Z243">
            <v>18</v>
          </cell>
          <cell r="AA243">
            <v>250</v>
          </cell>
          <cell r="AB243">
            <v>34</v>
          </cell>
          <cell r="AE243">
            <v>28</v>
          </cell>
          <cell r="AF243">
            <v>715</v>
          </cell>
        </row>
        <row r="244">
          <cell r="A244">
            <v>44804</v>
          </cell>
          <cell r="B244">
            <v>5</v>
          </cell>
          <cell r="C244">
            <v>3</v>
          </cell>
          <cell r="D244">
            <v>34</v>
          </cell>
          <cell r="F244">
            <v>15</v>
          </cell>
          <cell r="I244">
            <v>74</v>
          </cell>
          <cell r="J244">
            <v>9</v>
          </cell>
          <cell r="L244">
            <v>57</v>
          </cell>
          <cell r="N244">
            <v>60</v>
          </cell>
          <cell r="O244">
            <v>138</v>
          </cell>
          <cell r="Q244">
            <v>45</v>
          </cell>
          <cell r="R244">
            <v>19</v>
          </cell>
          <cell r="T244">
            <v>116</v>
          </cell>
          <cell r="V244">
            <v>8</v>
          </cell>
          <cell r="W244">
            <v>215</v>
          </cell>
          <cell r="X244">
            <v>23</v>
          </cell>
          <cell r="Z244">
            <v>19</v>
          </cell>
          <cell r="AA244">
            <v>215</v>
          </cell>
          <cell r="AB244">
            <v>33</v>
          </cell>
          <cell r="AD244">
            <v>1</v>
          </cell>
          <cell r="AE244">
            <v>32</v>
          </cell>
          <cell r="AF244">
            <v>672</v>
          </cell>
        </row>
        <row r="245">
          <cell r="A245">
            <v>44805</v>
          </cell>
          <cell r="B245">
            <v>2</v>
          </cell>
          <cell r="C245">
            <v>1</v>
          </cell>
          <cell r="D245">
            <v>33</v>
          </cell>
          <cell r="E245">
            <v>1</v>
          </cell>
          <cell r="F245">
            <v>10</v>
          </cell>
          <cell r="I245">
            <v>94</v>
          </cell>
          <cell r="J245">
            <v>8</v>
          </cell>
          <cell r="K245">
            <v>3</v>
          </cell>
          <cell r="L245">
            <v>42</v>
          </cell>
          <cell r="N245">
            <v>47</v>
          </cell>
          <cell r="O245">
            <v>215</v>
          </cell>
          <cell r="Q245">
            <v>36</v>
          </cell>
          <cell r="R245">
            <v>24</v>
          </cell>
          <cell r="S245">
            <v>41</v>
          </cell>
          <cell r="T245">
            <v>116</v>
          </cell>
          <cell r="V245">
            <v>8</v>
          </cell>
          <cell r="W245">
            <v>129</v>
          </cell>
          <cell r="X245">
            <v>56</v>
          </cell>
          <cell r="Z245">
            <v>10</v>
          </cell>
          <cell r="AA245">
            <v>196</v>
          </cell>
          <cell r="AB245">
            <v>34</v>
          </cell>
          <cell r="AC245">
            <v>1</v>
          </cell>
          <cell r="AD245">
            <v>4</v>
          </cell>
          <cell r="AE245">
            <v>20</v>
          </cell>
          <cell r="AF245">
            <v>619</v>
          </cell>
        </row>
        <row r="246">
          <cell r="A246">
            <v>44806</v>
          </cell>
          <cell r="C246">
            <v>2</v>
          </cell>
          <cell r="D246">
            <v>21</v>
          </cell>
          <cell r="E246">
            <v>3</v>
          </cell>
          <cell r="F246">
            <v>5</v>
          </cell>
          <cell r="I246">
            <v>103</v>
          </cell>
          <cell r="J246">
            <v>9</v>
          </cell>
          <cell r="K246">
            <v>10</v>
          </cell>
          <cell r="L246">
            <v>24</v>
          </cell>
          <cell r="N246">
            <v>40</v>
          </cell>
          <cell r="O246">
            <v>175</v>
          </cell>
          <cell r="Q246">
            <v>23</v>
          </cell>
          <cell r="R246">
            <v>23</v>
          </cell>
          <cell r="S246">
            <v>33</v>
          </cell>
          <cell r="T246">
            <v>123</v>
          </cell>
          <cell r="V246">
            <v>5</v>
          </cell>
          <cell r="W246">
            <v>107</v>
          </cell>
          <cell r="X246">
            <v>83</v>
          </cell>
          <cell r="Z246">
            <v>19</v>
          </cell>
          <cell r="AA246">
            <v>195</v>
          </cell>
          <cell r="AB246">
            <v>35</v>
          </cell>
          <cell r="AC246">
            <v>1</v>
          </cell>
          <cell r="AD246">
            <v>3</v>
          </cell>
          <cell r="AE246">
            <v>27</v>
          </cell>
          <cell r="AF246">
            <v>554</v>
          </cell>
        </row>
        <row r="247">
          <cell r="A247">
            <v>44807</v>
          </cell>
          <cell r="D247">
            <v>41</v>
          </cell>
          <cell r="E247">
            <v>1</v>
          </cell>
          <cell r="F247">
            <v>2</v>
          </cell>
          <cell r="I247">
            <v>103</v>
          </cell>
          <cell r="J247">
            <v>18</v>
          </cell>
          <cell r="K247">
            <v>15</v>
          </cell>
          <cell r="L247">
            <v>16</v>
          </cell>
          <cell r="N247">
            <v>17</v>
          </cell>
          <cell r="O247">
            <v>96</v>
          </cell>
          <cell r="P247">
            <v>3</v>
          </cell>
          <cell r="Q247">
            <v>17</v>
          </cell>
          <cell r="R247">
            <v>57</v>
          </cell>
          <cell r="S247">
            <v>88</v>
          </cell>
          <cell r="T247">
            <v>124</v>
          </cell>
          <cell r="V247">
            <v>20</v>
          </cell>
          <cell r="W247">
            <v>135</v>
          </cell>
          <cell r="X247">
            <v>79</v>
          </cell>
          <cell r="Z247">
            <v>9</v>
          </cell>
          <cell r="AA247">
            <v>179</v>
          </cell>
          <cell r="AB247">
            <v>33</v>
          </cell>
          <cell r="AD247">
            <v>5</v>
          </cell>
          <cell r="AE247">
            <v>16</v>
          </cell>
          <cell r="AF247">
            <v>550</v>
          </cell>
        </row>
        <row r="248">
          <cell r="A248">
            <v>44808</v>
          </cell>
          <cell r="D248">
            <v>14</v>
          </cell>
          <cell r="G248">
            <v>13</v>
          </cell>
          <cell r="I248">
            <v>87</v>
          </cell>
          <cell r="J248">
            <v>17</v>
          </cell>
          <cell r="K248">
            <v>26</v>
          </cell>
          <cell r="L248">
            <v>12</v>
          </cell>
          <cell r="N248">
            <v>24</v>
          </cell>
          <cell r="O248">
            <v>162</v>
          </cell>
          <cell r="Q248">
            <v>13</v>
          </cell>
          <cell r="R248">
            <v>76</v>
          </cell>
          <cell r="S248">
            <v>26</v>
          </cell>
          <cell r="T248">
            <v>103</v>
          </cell>
          <cell r="V248">
            <v>21</v>
          </cell>
          <cell r="W248">
            <v>97</v>
          </cell>
          <cell r="X248">
            <v>55</v>
          </cell>
          <cell r="Z248">
            <v>6</v>
          </cell>
          <cell r="AA248">
            <v>182</v>
          </cell>
          <cell r="AB248">
            <v>29</v>
          </cell>
          <cell r="AC248">
            <v>1</v>
          </cell>
          <cell r="AD248">
            <v>1</v>
          </cell>
          <cell r="AE248">
            <v>18</v>
          </cell>
          <cell r="AF248">
            <v>515</v>
          </cell>
        </row>
        <row r="249">
          <cell r="A249">
            <v>44809</v>
          </cell>
          <cell r="C249">
            <v>1</v>
          </cell>
          <cell r="D249">
            <v>12</v>
          </cell>
          <cell r="F249">
            <v>2</v>
          </cell>
          <cell r="G249">
            <v>4</v>
          </cell>
          <cell r="H249">
            <v>1</v>
          </cell>
          <cell r="I249">
            <v>58</v>
          </cell>
          <cell r="J249">
            <v>29</v>
          </cell>
          <cell r="K249">
            <v>3</v>
          </cell>
          <cell r="L249">
            <v>10</v>
          </cell>
          <cell r="N249">
            <v>20</v>
          </cell>
          <cell r="O249">
            <v>155</v>
          </cell>
          <cell r="Q249">
            <v>8</v>
          </cell>
          <cell r="R249">
            <v>74</v>
          </cell>
          <cell r="S249">
            <v>19</v>
          </cell>
          <cell r="T249">
            <v>91</v>
          </cell>
          <cell r="V249">
            <v>101</v>
          </cell>
          <cell r="W249">
            <v>95</v>
          </cell>
          <cell r="X249">
            <v>65</v>
          </cell>
          <cell r="Z249">
            <v>2</v>
          </cell>
          <cell r="AA249">
            <v>137</v>
          </cell>
          <cell r="AB249">
            <v>32</v>
          </cell>
          <cell r="AD249">
            <v>3</v>
          </cell>
          <cell r="AE249">
            <v>15</v>
          </cell>
          <cell r="AF249">
            <v>504</v>
          </cell>
        </row>
        <row r="250">
          <cell r="A250">
            <v>44810</v>
          </cell>
          <cell r="C250">
            <v>14</v>
          </cell>
          <cell r="D250">
            <v>7</v>
          </cell>
          <cell r="E250">
            <v>1</v>
          </cell>
          <cell r="F250">
            <v>1</v>
          </cell>
          <cell r="G250">
            <v>1</v>
          </cell>
          <cell r="I250">
            <v>54</v>
          </cell>
          <cell r="J250">
            <v>68</v>
          </cell>
          <cell r="K250">
            <v>30</v>
          </cell>
          <cell r="L250">
            <v>6</v>
          </cell>
          <cell r="N250">
            <v>14</v>
          </cell>
          <cell r="O250">
            <v>192</v>
          </cell>
          <cell r="R250">
            <v>60</v>
          </cell>
          <cell r="S250">
            <v>6</v>
          </cell>
          <cell r="T250">
            <v>79</v>
          </cell>
          <cell r="V250">
            <v>134</v>
          </cell>
          <cell r="W250">
            <v>107</v>
          </cell>
          <cell r="X250">
            <v>92</v>
          </cell>
          <cell r="Z250">
            <v>13</v>
          </cell>
          <cell r="AA250">
            <v>149</v>
          </cell>
          <cell r="AB250">
            <v>29</v>
          </cell>
          <cell r="AD250">
            <v>1</v>
          </cell>
          <cell r="AE250">
            <v>7</v>
          </cell>
          <cell r="AF250">
            <v>463</v>
          </cell>
        </row>
        <row r="251">
          <cell r="A251">
            <v>44811</v>
          </cell>
          <cell r="B251">
            <v>1</v>
          </cell>
          <cell r="C251">
            <v>10</v>
          </cell>
          <cell r="D251">
            <v>3</v>
          </cell>
          <cell r="E251">
            <v>13</v>
          </cell>
          <cell r="H251">
            <v>3</v>
          </cell>
          <cell r="I251">
            <v>36</v>
          </cell>
          <cell r="J251">
            <v>70</v>
          </cell>
          <cell r="K251">
            <v>20</v>
          </cell>
          <cell r="L251">
            <v>5</v>
          </cell>
          <cell r="N251">
            <v>12</v>
          </cell>
          <cell r="O251">
            <v>110</v>
          </cell>
          <cell r="R251">
            <v>59</v>
          </cell>
          <cell r="S251">
            <v>6</v>
          </cell>
          <cell r="T251">
            <v>74</v>
          </cell>
          <cell r="V251">
            <v>128</v>
          </cell>
          <cell r="W251">
            <v>56</v>
          </cell>
          <cell r="X251">
            <v>90</v>
          </cell>
          <cell r="Z251">
            <v>5</v>
          </cell>
          <cell r="AA251">
            <v>159</v>
          </cell>
          <cell r="AB251">
            <v>28</v>
          </cell>
          <cell r="AC251">
            <v>6</v>
          </cell>
          <cell r="AE251">
            <v>12</v>
          </cell>
          <cell r="AF251">
            <v>403</v>
          </cell>
        </row>
        <row r="252">
          <cell r="A252">
            <v>44812</v>
          </cell>
          <cell r="B252">
            <v>4</v>
          </cell>
          <cell r="C252">
            <v>19</v>
          </cell>
          <cell r="D252">
            <v>5</v>
          </cell>
          <cell r="E252">
            <v>2</v>
          </cell>
          <cell r="H252">
            <v>3</v>
          </cell>
          <cell r="I252">
            <v>61</v>
          </cell>
          <cell r="J252">
            <v>99</v>
          </cell>
          <cell r="K252">
            <v>18</v>
          </cell>
          <cell r="L252">
            <v>3</v>
          </cell>
          <cell r="N252">
            <v>8</v>
          </cell>
          <cell r="O252">
            <v>115</v>
          </cell>
          <cell r="R252">
            <v>57</v>
          </cell>
          <cell r="S252">
            <v>2</v>
          </cell>
          <cell r="T252">
            <v>79</v>
          </cell>
          <cell r="V252">
            <v>104</v>
          </cell>
          <cell r="W252">
            <v>21</v>
          </cell>
          <cell r="X252">
            <v>96</v>
          </cell>
          <cell r="Z252">
            <v>14</v>
          </cell>
          <cell r="AA252">
            <v>126</v>
          </cell>
          <cell r="AB252">
            <v>27</v>
          </cell>
          <cell r="AC252">
            <v>5</v>
          </cell>
          <cell r="AE252">
            <v>12</v>
          </cell>
          <cell r="AF252">
            <v>365</v>
          </cell>
        </row>
        <row r="253">
          <cell r="A253">
            <v>44813</v>
          </cell>
          <cell r="B253">
            <v>3</v>
          </cell>
          <cell r="C253">
            <v>14</v>
          </cell>
          <cell r="D253">
            <v>7</v>
          </cell>
          <cell r="E253">
            <v>5</v>
          </cell>
          <cell r="F253">
            <v>2</v>
          </cell>
          <cell r="H253">
            <v>2</v>
          </cell>
          <cell r="I253">
            <v>31</v>
          </cell>
          <cell r="J253">
            <v>93</v>
          </cell>
          <cell r="K253">
            <v>48</v>
          </cell>
          <cell r="L253">
            <v>15</v>
          </cell>
          <cell r="N253">
            <v>6</v>
          </cell>
          <cell r="O253">
            <v>112</v>
          </cell>
          <cell r="P253">
            <v>1</v>
          </cell>
          <cell r="Q253">
            <v>2</v>
          </cell>
          <cell r="R253">
            <v>59</v>
          </cell>
          <cell r="S253">
            <v>6</v>
          </cell>
          <cell r="T253">
            <v>56</v>
          </cell>
          <cell r="V253">
            <v>61</v>
          </cell>
          <cell r="W253">
            <v>20</v>
          </cell>
          <cell r="X253">
            <v>83</v>
          </cell>
          <cell r="Z253">
            <v>19</v>
          </cell>
          <cell r="AA253">
            <v>143</v>
          </cell>
          <cell r="AB253">
            <v>27</v>
          </cell>
          <cell r="AC253">
            <v>2</v>
          </cell>
          <cell r="AE253">
            <v>40</v>
          </cell>
          <cell r="AF253">
            <v>322</v>
          </cell>
        </row>
        <row r="254">
          <cell r="A254">
            <v>44814</v>
          </cell>
          <cell r="B254">
            <v>1</v>
          </cell>
          <cell r="C254">
            <v>10</v>
          </cell>
          <cell r="D254">
            <v>6</v>
          </cell>
          <cell r="E254">
            <v>8</v>
          </cell>
          <cell r="F254">
            <v>2</v>
          </cell>
          <cell r="I254">
            <v>25</v>
          </cell>
          <cell r="J254">
            <v>63</v>
          </cell>
          <cell r="K254">
            <v>124</v>
          </cell>
          <cell r="L254">
            <v>12</v>
          </cell>
          <cell r="N254">
            <v>1</v>
          </cell>
          <cell r="O254">
            <v>87</v>
          </cell>
          <cell r="R254">
            <v>69</v>
          </cell>
          <cell r="S254">
            <v>4</v>
          </cell>
          <cell r="T254">
            <v>38</v>
          </cell>
          <cell r="V254">
            <v>49</v>
          </cell>
          <cell r="W254">
            <v>13</v>
          </cell>
          <cell r="X254">
            <v>64</v>
          </cell>
          <cell r="Z254">
            <v>24</v>
          </cell>
          <cell r="AA254">
            <v>176</v>
          </cell>
          <cell r="AB254">
            <v>26</v>
          </cell>
          <cell r="AC254">
            <v>3</v>
          </cell>
          <cell r="AD254">
            <v>1</v>
          </cell>
          <cell r="AE254">
            <v>45</v>
          </cell>
          <cell r="AF254">
            <v>267</v>
          </cell>
        </row>
        <row r="255">
          <cell r="A255">
            <v>44815</v>
          </cell>
          <cell r="B255">
            <v>1</v>
          </cell>
          <cell r="C255">
            <v>14</v>
          </cell>
          <cell r="D255">
            <v>4</v>
          </cell>
          <cell r="E255">
            <v>3</v>
          </cell>
          <cell r="F255">
            <v>2</v>
          </cell>
          <cell r="I255">
            <v>25</v>
          </cell>
          <cell r="J255">
            <v>29</v>
          </cell>
          <cell r="K255">
            <v>137</v>
          </cell>
          <cell r="L255">
            <v>17</v>
          </cell>
          <cell r="N255">
            <v>4</v>
          </cell>
          <cell r="O255">
            <v>69</v>
          </cell>
          <cell r="P255">
            <v>1</v>
          </cell>
          <cell r="Q255">
            <v>5</v>
          </cell>
          <cell r="R255">
            <v>60</v>
          </cell>
          <cell r="S255">
            <v>1</v>
          </cell>
          <cell r="T255">
            <v>28</v>
          </cell>
          <cell r="V255">
            <v>28</v>
          </cell>
          <cell r="W255">
            <v>6</v>
          </cell>
          <cell r="X255">
            <v>37</v>
          </cell>
          <cell r="Z255">
            <v>31</v>
          </cell>
          <cell r="AA255">
            <v>121</v>
          </cell>
          <cell r="AB255">
            <v>24</v>
          </cell>
          <cell r="AC255">
            <v>1</v>
          </cell>
          <cell r="AE255">
            <v>38</v>
          </cell>
          <cell r="AF255">
            <v>226</v>
          </cell>
        </row>
        <row r="256">
          <cell r="A256">
            <v>44816</v>
          </cell>
          <cell r="C256">
            <v>15</v>
          </cell>
          <cell r="D256">
            <v>2</v>
          </cell>
          <cell r="F256">
            <v>1</v>
          </cell>
          <cell r="H256">
            <v>2</v>
          </cell>
          <cell r="I256">
            <v>11</v>
          </cell>
          <cell r="J256">
            <v>41</v>
          </cell>
          <cell r="K256">
            <v>145</v>
          </cell>
          <cell r="L256">
            <v>24</v>
          </cell>
          <cell r="O256">
            <v>21</v>
          </cell>
          <cell r="Q256">
            <v>3</v>
          </cell>
          <cell r="R256">
            <v>53</v>
          </cell>
          <cell r="T256">
            <v>25</v>
          </cell>
          <cell r="V256">
            <v>26</v>
          </cell>
          <cell r="W256">
            <v>2</v>
          </cell>
          <cell r="X256">
            <v>41</v>
          </cell>
          <cell r="Z256">
            <v>13</v>
          </cell>
          <cell r="AA256">
            <v>181</v>
          </cell>
          <cell r="AB256">
            <v>23</v>
          </cell>
          <cell r="AC256">
            <v>5</v>
          </cell>
          <cell r="AE256">
            <v>32</v>
          </cell>
          <cell r="AF256">
            <v>208</v>
          </cell>
        </row>
        <row r="257">
          <cell r="A257">
            <v>44817</v>
          </cell>
          <cell r="C257">
            <v>17</v>
          </cell>
          <cell r="D257">
            <v>4</v>
          </cell>
          <cell r="E257">
            <v>1</v>
          </cell>
          <cell r="I257">
            <v>9</v>
          </cell>
          <cell r="J257">
            <v>58</v>
          </cell>
          <cell r="K257">
            <v>248</v>
          </cell>
          <cell r="L257">
            <v>13</v>
          </cell>
          <cell r="O257">
            <v>45</v>
          </cell>
          <cell r="P257">
            <v>5</v>
          </cell>
          <cell r="Q257">
            <v>16</v>
          </cell>
          <cell r="R257">
            <v>57</v>
          </cell>
          <cell r="T257">
            <v>10</v>
          </cell>
          <cell r="V257">
            <v>18</v>
          </cell>
          <cell r="W257">
            <v>4</v>
          </cell>
          <cell r="X257">
            <v>45</v>
          </cell>
          <cell r="Z257">
            <v>14</v>
          </cell>
          <cell r="AA257">
            <v>156</v>
          </cell>
          <cell r="AB257">
            <v>25</v>
          </cell>
          <cell r="AE257">
            <v>18</v>
          </cell>
          <cell r="AF257">
            <v>137</v>
          </cell>
        </row>
        <row r="258">
          <cell r="A258">
            <v>44818</v>
          </cell>
          <cell r="B258">
            <v>2</v>
          </cell>
          <cell r="C258">
            <v>1</v>
          </cell>
          <cell r="D258">
            <v>11</v>
          </cell>
          <cell r="F258">
            <v>2</v>
          </cell>
          <cell r="I258">
            <v>9</v>
          </cell>
          <cell r="J258">
            <v>60</v>
          </cell>
          <cell r="K258">
            <v>307</v>
          </cell>
          <cell r="L258">
            <v>15</v>
          </cell>
          <cell r="N258">
            <v>5</v>
          </cell>
          <cell r="O258">
            <v>22</v>
          </cell>
          <cell r="Q258">
            <v>2</v>
          </cell>
          <cell r="R258">
            <v>53</v>
          </cell>
          <cell r="T258">
            <v>8</v>
          </cell>
          <cell r="V258">
            <v>12</v>
          </cell>
          <cell r="X258">
            <v>12</v>
          </cell>
          <cell r="Z258">
            <v>9</v>
          </cell>
          <cell r="AA258">
            <v>216</v>
          </cell>
          <cell r="AB258">
            <v>25</v>
          </cell>
          <cell r="AC258">
            <v>2</v>
          </cell>
          <cell r="AD258">
            <v>1</v>
          </cell>
          <cell r="AE258">
            <v>30</v>
          </cell>
          <cell r="AF258">
            <v>109</v>
          </cell>
        </row>
        <row r="259">
          <cell r="A259">
            <v>44819</v>
          </cell>
          <cell r="B259">
            <v>1</v>
          </cell>
          <cell r="C259">
            <v>2</v>
          </cell>
          <cell r="D259">
            <v>36</v>
          </cell>
          <cell r="E259">
            <v>3</v>
          </cell>
          <cell r="F259">
            <v>4</v>
          </cell>
          <cell r="G259">
            <v>1</v>
          </cell>
          <cell r="H259">
            <v>3</v>
          </cell>
          <cell r="I259">
            <v>6</v>
          </cell>
          <cell r="J259">
            <v>55</v>
          </cell>
          <cell r="K259">
            <v>270</v>
          </cell>
          <cell r="L259">
            <v>23</v>
          </cell>
          <cell r="M259">
            <v>1</v>
          </cell>
          <cell r="N259">
            <v>2</v>
          </cell>
          <cell r="O259">
            <v>8</v>
          </cell>
          <cell r="P259">
            <v>2</v>
          </cell>
          <cell r="Q259">
            <v>5</v>
          </cell>
          <cell r="R259">
            <v>39</v>
          </cell>
          <cell r="T259">
            <v>1</v>
          </cell>
          <cell r="V259">
            <v>7</v>
          </cell>
          <cell r="W259">
            <v>1</v>
          </cell>
          <cell r="X259">
            <v>21</v>
          </cell>
          <cell r="Z259">
            <v>4</v>
          </cell>
          <cell r="AA259">
            <v>157</v>
          </cell>
          <cell r="AB259">
            <v>23</v>
          </cell>
          <cell r="AC259">
            <v>5</v>
          </cell>
          <cell r="AE259">
            <v>30</v>
          </cell>
          <cell r="AF259">
            <v>118</v>
          </cell>
        </row>
        <row r="260">
          <cell r="A260">
            <v>44820</v>
          </cell>
          <cell r="D260">
            <v>45</v>
          </cell>
          <cell r="E260">
            <v>1</v>
          </cell>
          <cell r="F260">
            <v>4</v>
          </cell>
          <cell r="I260">
            <v>4</v>
          </cell>
          <cell r="J260">
            <v>49</v>
          </cell>
          <cell r="K260">
            <v>154</v>
          </cell>
          <cell r="L260">
            <v>14</v>
          </cell>
          <cell r="M260">
            <v>2</v>
          </cell>
          <cell r="O260">
            <v>3</v>
          </cell>
          <cell r="Q260">
            <v>2</v>
          </cell>
          <cell r="R260">
            <v>9</v>
          </cell>
          <cell r="V260">
            <v>12</v>
          </cell>
          <cell r="W260">
            <v>1</v>
          </cell>
          <cell r="X260">
            <v>32</v>
          </cell>
          <cell r="Z260">
            <v>8</v>
          </cell>
          <cell r="AA260">
            <v>106</v>
          </cell>
          <cell r="AB260">
            <v>23</v>
          </cell>
          <cell r="AC260">
            <v>4</v>
          </cell>
          <cell r="AD260">
            <v>1</v>
          </cell>
          <cell r="AE260">
            <v>25</v>
          </cell>
          <cell r="AF260">
            <v>65</v>
          </cell>
        </row>
        <row r="261">
          <cell r="A261">
            <v>44821</v>
          </cell>
          <cell r="D261">
            <v>28</v>
          </cell>
          <cell r="F261">
            <v>2</v>
          </cell>
          <cell r="H261">
            <v>3</v>
          </cell>
          <cell r="I261">
            <v>2</v>
          </cell>
          <cell r="J261">
            <v>29</v>
          </cell>
          <cell r="K261">
            <v>706</v>
          </cell>
          <cell r="L261">
            <v>9</v>
          </cell>
          <cell r="M261">
            <v>11</v>
          </cell>
          <cell r="N261">
            <v>2</v>
          </cell>
          <cell r="O261">
            <v>4</v>
          </cell>
          <cell r="P261">
            <v>1</v>
          </cell>
          <cell r="R261">
            <v>5</v>
          </cell>
          <cell r="V261">
            <v>8</v>
          </cell>
          <cell r="W261">
            <v>2</v>
          </cell>
          <cell r="X261">
            <v>14</v>
          </cell>
          <cell r="Z261">
            <v>2</v>
          </cell>
          <cell r="AA261">
            <v>107</v>
          </cell>
          <cell r="AB261">
            <v>24</v>
          </cell>
          <cell r="AC261">
            <v>6</v>
          </cell>
          <cell r="AE261">
            <v>12</v>
          </cell>
          <cell r="AF261">
            <v>45</v>
          </cell>
        </row>
        <row r="262">
          <cell r="A262">
            <v>44822</v>
          </cell>
          <cell r="D262">
            <v>26</v>
          </cell>
          <cell r="E262">
            <v>3</v>
          </cell>
          <cell r="F262">
            <v>1</v>
          </cell>
          <cell r="I262">
            <v>3</v>
          </cell>
          <cell r="J262">
            <v>31</v>
          </cell>
          <cell r="K262">
            <v>362</v>
          </cell>
          <cell r="L262">
            <v>3</v>
          </cell>
          <cell r="M262">
            <v>12</v>
          </cell>
          <cell r="N262">
            <v>7</v>
          </cell>
          <cell r="O262">
            <v>12</v>
          </cell>
          <cell r="Q262">
            <v>5</v>
          </cell>
          <cell r="R262">
            <v>4</v>
          </cell>
          <cell r="V262">
            <v>3</v>
          </cell>
          <cell r="W262">
            <v>2</v>
          </cell>
          <cell r="X262">
            <v>5</v>
          </cell>
          <cell r="Z262">
            <v>3</v>
          </cell>
          <cell r="AA262">
            <v>68</v>
          </cell>
          <cell r="AB262">
            <v>19</v>
          </cell>
          <cell r="AC262">
            <v>4</v>
          </cell>
          <cell r="AD262">
            <v>1</v>
          </cell>
          <cell r="AE262">
            <v>1</v>
          </cell>
          <cell r="AF262">
            <v>198</v>
          </cell>
        </row>
        <row r="263">
          <cell r="A263">
            <v>44823</v>
          </cell>
          <cell r="D263">
            <v>18</v>
          </cell>
          <cell r="E263">
            <v>1</v>
          </cell>
          <cell r="F263">
            <v>1</v>
          </cell>
          <cell r="I263">
            <v>1</v>
          </cell>
          <cell r="J263">
            <v>7</v>
          </cell>
          <cell r="K263">
            <v>231</v>
          </cell>
          <cell r="L263">
            <v>2</v>
          </cell>
          <cell r="M263">
            <v>5</v>
          </cell>
          <cell r="N263">
            <v>7</v>
          </cell>
          <cell r="O263">
            <v>45</v>
          </cell>
          <cell r="P263">
            <v>1</v>
          </cell>
          <cell r="Q263">
            <v>3</v>
          </cell>
          <cell r="R263">
            <v>2</v>
          </cell>
          <cell r="W263">
            <v>4</v>
          </cell>
          <cell r="X263">
            <v>1</v>
          </cell>
          <cell r="AA263">
            <v>61</v>
          </cell>
          <cell r="AB263">
            <v>12</v>
          </cell>
          <cell r="AC263">
            <v>4</v>
          </cell>
          <cell r="AD263">
            <v>1</v>
          </cell>
          <cell r="AE263">
            <v>11</v>
          </cell>
          <cell r="AF263">
            <v>176</v>
          </cell>
        </row>
        <row r="264">
          <cell r="A264">
            <v>44824</v>
          </cell>
          <cell r="D264">
            <v>11</v>
          </cell>
          <cell r="I264">
            <v>5</v>
          </cell>
          <cell r="J264">
            <v>10</v>
          </cell>
          <cell r="K264">
            <v>179</v>
          </cell>
          <cell r="L264">
            <v>5</v>
          </cell>
          <cell r="M264">
            <v>2</v>
          </cell>
          <cell r="N264">
            <v>8</v>
          </cell>
          <cell r="O264">
            <v>110</v>
          </cell>
          <cell r="Q264">
            <v>1</v>
          </cell>
          <cell r="R264">
            <v>1</v>
          </cell>
          <cell r="U264">
            <v>4</v>
          </cell>
          <cell r="W264">
            <v>5</v>
          </cell>
          <cell r="X264">
            <v>3</v>
          </cell>
          <cell r="Z264">
            <v>1</v>
          </cell>
          <cell r="AA264">
            <v>49</v>
          </cell>
          <cell r="AB264">
            <v>11</v>
          </cell>
          <cell r="AC264">
            <v>6</v>
          </cell>
          <cell r="AD264">
            <v>2</v>
          </cell>
          <cell r="AE264">
            <v>9</v>
          </cell>
          <cell r="AF264">
            <v>168</v>
          </cell>
        </row>
        <row r="265">
          <cell r="A265">
            <v>44825</v>
          </cell>
          <cell r="B265">
            <v>2</v>
          </cell>
          <cell r="D265">
            <v>11</v>
          </cell>
          <cell r="F265">
            <v>5</v>
          </cell>
          <cell r="H265">
            <v>1</v>
          </cell>
          <cell r="I265">
            <v>2</v>
          </cell>
          <cell r="J265">
            <v>15</v>
          </cell>
          <cell r="K265">
            <v>173</v>
          </cell>
          <cell r="L265">
            <v>3</v>
          </cell>
          <cell r="N265">
            <v>9</v>
          </cell>
          <cell r="O265">
            <v>116</v>
          </cell>
          <cell r="Q265">
            <v>2</v>
          </cell>
          <cell r="U265">
            <v>19</v>
          </cell>
          <cell r="W265">
            <v>5</v>
          </cell>
          <cell r="X265">
            <v>4</v>
          </cell>
          <cell r="AA265">
            <v>49</v>
          </cell>
          <cell r="AB265">
            <v>9</v>
          </cell>
          <cell r="AC265">
            <v>3</v>
          </cell>
          <cell r="AE265">
            <v>19</v>
          </cell>
          <cell r="AF265">
            <v>156</v>
          </cell>
        </row>
        <row r="266">
          <cell r="A266">
            <v>44826</v>
          </cell>
          <cell r="B266">
            <v>1</v>
          </cell>
          <cell r="C266">
            <v>2</v>
          </cell>
          <cell r="D266">
            <v>11</v>
          </cell>
          <cell r="E266">
            <v>1</v>
          </cell>
          <cell r="F266">
            <v>1</v>
          </cell>
          <cell r="G266">
            <v>1</v>
          </cell>
          <cell r="I266">
            <v>6</v>
          </cell>
          <cell r="J266">
            <v>8</v>
          </cell>
          <cell r="K266">
            <v>145</v>
          </cell>
          <cell r="L266">
            <v>1</v>
          </cell>
          <cell r="N266">
            <v>2</v>
          </cell>
          <cell r="O266">
            <v>230</v>
          </cell>
          <cell r="P266">
            <v>6</v>
          </cell>
          <cell r="Q266">
            <v>7</v>
          </cell>
          <cell r="U266">
            <v>59</v>
          </cell>
          <cell r="V266">
            <v>2</v>
          </cell>
          <cell r="W266">
            <v>1</v>
          </cell>
          <cell r="X266">
            <v>12</v>
          </cell>
          <cell r="Z266">
            <v>2</v>
          </cell>
          <cell r="AA266">
            <v>60</v>
          </cell>
          <cell r="AB266">
            <v>8</v>
          </cell>
          <cell r="AC266">
            <v>5</v>
          </cell>
          <cell r="AE266">
            <v>16</v>
          </cell>
          <cell r="AF266">
            <v>140</v>
          </cell>
        </row>
        <row r="267">
          <cell r="A267">
            <v>44827</v>
          </cell>
          <cell r="B267">
            <v>3</v>
          </cell>
          <cell r="D267">
            <v>6</v>
          </cell>
          <cell r="G267">
            <v>1</v>
          </cell>
          <cell r="I267">
            <v>2</v>
          </cell>
          <cell r="J267">
            <v>5</v>
          </cell>
          <cell r="K267">
            <v>98</v>
          </cell>
          <cell r="L267">
            <v>3</v>
          </cell>
          <cell r="M267">
            <v>1</v>
          </cell>
          <cell r="N267">
            <v>7</v>
          </cell>
          <cell r="O267">
            <v>224</v>
          </cell>
          <cell r="P267">
            <v>2</v>
          </cell>
          <cell r="Q267">
            <v>4</v>
          </cell>
          <cell r="U267">
            <v>121</v>
          </cell>
          <cell r="X267">
            <v>7</v>
          </cell>
          <cell r="Z267">
            <v>1</v>
          </cell>
          <cell r="AA267">
            <v>93</v>
          </cell>
          <cell r="AB267">
            <v>9</v>
          </cell>
          <cell r="AC267">
            <v>14</v>
          </cell>
          <cell r="AD267">
            <v>5</v>
          </cell>
          <cell r="AE267">
            <v>1</v>
          </cell>
          <cell r="AF267">
            <v>122</v>
          </cell>
        </row>
        <row r="268">
          <cell r="A268">
            <v>44828</v>
          </cell>
          <cell r="B268">
            <v>2</v>
          </cell>
          <cell r="D268">
            <v>12</v>
          </cell>
          <cell r="F268">
            <v>2</v>
          </cell>
          <cell r="G268">
            <v>3</v>
          </cell>
          <cell r="I268">
            <v>4</v>
          </cell>
          <cell r="J268">
            <v>2</v>
          </cell>
          <cell r="K268">
            <v>176</v>
          </cell>
          <cell r="L268">
            <v>2</v>
          </cell>
          <cell r="N268">
            <v>2</v>
          </cell>
          <cell r="O268">
            <v>173</v>
          </cell>
          <cell r="Q268">
            <v>5</v>
          </cell>
          <cell r="R268">
            <v>1</v>
          </cell>
          <cell r="U268">
            <v>172</v>
          </cell>
          <cell r="X268">
            <v>3</v>
          </cell>
          <cell r="Z268">
            <v>4</v>
          </cell>
          <cell r="AA268">
            <v>55</v>
          </cell>
          <cell r="AB268">
            <v>9</v>
          </cell>
          <cell r="AC268">
            <v>1</v>
          </cell>
          <cell r="AD268">
            <v>2</v>
          </cell>
          <cell r="AF268">
            <v>111</v>
          </cell>
        </row>
        <row r="269">
          <cell r="A269">
            <v>44829</v>
          </cell>
          <cell r="B269">
            <v>5</v>
          </cell>
          <cell r="D269">
            <v>19</v>
          </cell>
          <cell r="F269">
            <v>2</v>
          </cell>
          <cell r="G269">
            <v>1</v>
          </cell>
          <cell r="I269">
            <v>12</v>
          </cell>
          <cell r="J269">
            <v>1</v>
          </cell>
          <cell r="K269">
            <v>161</v>
          </cell>
          <cell r="M269">
            <v>1</v>
          </cell>
          <cell r="N269">
            <v>2</v>
          </cell>
          <cell r="O269">
            <v>157</v>
          </cell>
          <cell r="Q269">
            <v>1</v>
          </cell>
          <cell r="R269">
            <v>3</v>
          </cell>
          <cell r="U269">
            <v>186</v>
          </cell>
          <cell r="V269">
            <v>2</v>
          </cell>
          <cell r="W269">
            <v>17</v>
          </cell>
          <cell r="X269">
            <v>3</v>
          </cell>
          <cell r="Z269">
            <v>4</v>
          </cell>
          <cell r="AA269">
            <v>39</v>
          </cell>
          <cell r="AB269">
            <v>8</v>
          </cell>
          <cell r="AC269">
            <v>6</v>
          </cell>
          <cell r="AD269">
            <v>1</v>
          </cell>
          <cell r="AE269">
            <v>2</v>
          </cell>
          <cell r="AF269">
            <v>98</v>
          </cell>
        </row>
        <row r="270">
          <cell r="A270">
            <v>44830</v>
          </cell>
          <cell r="B270">
            <v>2</v>
          </cell>
          <cell r="D270">
            <v>42</v>
          </cell>
          <cell r="F270">
            <v>1</v>
          </cell>
          <cell r="G270">
            <v>1</v>
          </cell>
          <cell r="I270">
            <v>17</v>
          </cell>
          <cell r="J270">
            <v>8</v>
          </cell>
          <cell r="K270">
            <v>124</v>
          </cell>
          <cell r="L270">
            <v>3</v>
          </cell>
          <cell r="N270">
            <v>2</v>
          </cell>
          <cell r="O270">
            <v>136</v>
          </cell>
          <cell r="Q270">
            <v>3</v>
          </cell>
          <cell r="R270">
            <v>5</v>
          </cell>
          <cell r="U270">
            <v>234</v>
          </cell>
          <cell r="W270">
            <v>6</v>
          </cell>
          <cell r="X270">
            <v>4</v>
          </cell>
          <cell r="Z270">
            <v>2</v>
          </cell>
          <cell r="AA270">
            <v>56</v>
          </cell>
          <cell r="AB270">
            <v>7</v>
          </cell>
          <cell r="AC270">
            <v>29</v>
          </cell>
          <cell r="AD270">
            <v>1</v>
          </cell>
          <cell r="AF270">
            <v>94</v>
          </cell>
        </row>
        <row r="271">
          <cell r="A271">
            <v>44831</v>
          </cell>
          <cell r="B271">
            <v>4</v>
          </cell>
          <cell r="D271">
            <v>55</v>
          </cell>
          <cell r="F271">
            <v>1</v>
          </cell>
          <cell r="G271">
            <v>1</v>
          </cell>
          <cell r="I271">
            <v>5</v>
          </cell>
          <cell r="J271">
            <v>6</v>
          </cell>
          <cell r="K271">
            <v>127</v>
          </cell>
          <cell r="L271">
            <v>1</v>
          </cell>
          <cell r="N271">
            <v>5</v>
          </cell>
          <cell r="O271">
            <v>87</v>
          </cell>
          <cell r="R271">
            <v>4</v>
          </cell>
          <cell r="U271">
            <v>209</v>
          </cell>
          <cell r="V271">
            <v>1</v>
          </cell>
          <cell r="W271">
            <v>6</v>
          </cell>
          <cell r="X271">
            <v>4</v>
          </cell>
          <cell r="Z271">
            <v>9</v>
          </cell>
          <cell r="AA271">
            <v>29</v>
          </cell>
          <cell r="AB271">
            <v>10</v>
          </cell>
          <cell r="AC271">
            <v>12</v>
          </cell>
          <cell r="AD271">
            <v>1</v>
          </cell>
          <cell r="AE271">
            <v>12</v>
          </cell>
          <cell r="AF271">
            <v>145</v>
          </cell>
        </row>
        <row r="272">
          <cell r="A272">
            <v>44832</v>
          </cell>
          <cell r="B272">
            <v>5</v>
          </cell>
          <cell r="D272">
            <v>39</v>
          </cell>
          <cell r="E272">
            <v>1</v>
          </cell>
          <cell r="G272">
            <v>5</v>
          </cell>
          <cell r="I272">
            <v>20</v>
          </cell>
          <cell r="J272">
            <v>8</v>
          </cell>
          <cell r="K272">
            <v>92</v>
          </cell>
          <cell r="L272">
            <v>1</v>
          </cell>
          <cell r="N272">
            <v>4</v>
          </cell>
          <cell r="O272">
            <v>82</v>
          </cell>
          <cell r="Q272">
            <v>1</v>
          </cell>
          <cell r="R272">
            <v>4</v>
          </cell>
          <cell r="U272">
            <v>191</v>
          </cell>
          <cell r="V272">
            <v>1</v>
          </cell>
          <cell r="X272">
            <v>4</v>
          </cell>
          <cell r="Y272">
            <v>5</v>
          </cell>
          <cell r="Z272">
            <v>5</v>
          </cell>
          <cell r="AA272">
            <v>16</v>
          </cell>
          <cell r="AB272">
            <v>10</v>
          </cell>
          <cell r="AC272">
            <v>26</v>
          </cell>
          <cell r="AD272">
            <v>2</v>
          </cell>
          <cell r="AE272">
            <v>6</v>
          </cell>
          <cell r="AF272">
            <v>90</v>
          </cell>
        </row>
        <row r="273">
          <cell r="A273">
            <v>44833</v>
          </cell>
          <cell r="B273">
            <v>4</v>
          </cell>
          <cell r="C273">
            <v>1</v>
          </cell>
          <cell r="D273">
            <v>72</v>
          </cell>
          <cell r="E273">
            <v>6</v>
          </cell>
          <cell r="F273">
            <v>1</v>
          </cell>
          <cell r="G273">
            <v>7</v>
          </cell>
          <cell r="H273">
            <v>3</v>
          </cell>
          <cell r="I273">
            <v>31</v>
          </cell>
          <cell r="J273">
            <v>9</v>
          </cell>
          <cell r="K273">
            <v>96</v>
          </cell>
          <cell r="L273">
            <v>7</v>
          </cell>
          <cell r="N273">
            <v>20</v>
          </cell>
          <cell r="O273">
            <v>66</v>
          </cell>
          <cell r="P273">
            <v>3</v>
          </cell>
          <cell r="Q273">
            <v>11</v>
          </cell>
          <cell r="R273">
            <v>1</v>
          </cell>
          <cell r="U273">
            <v>176</v>
          </cell>
          <cell r="V273">
            <v>1</v>
          </cell>
          <cell r="W273">
            <v>4</v>
          </cell>
          <cell r="X273">
            <v>9</v>
          </cell>
          <cell r="Y273">
            <v>2</v>
          </cell>
          <cell r="Z273">
            <v>17</v>
          </cell>
          <cell r="AA273">
            <v>23</v>
          </cell>
          <cell r="AB273">
            <v>28</v>
          </cell>
          <cell r="AC273">
            <v>31</v>
          </cell>
          <cell r="AD273">
            <v>7</v>
          </cell>
          <cell r="AE273">
            <v>4</v>
          </cell>
          <cell r="AF273">
            <v>72</v>
          </cell>
        </row>
        <row r="274">
          <cell r="A274">
            <v>44834</v>
          </cell>
          <cell r="B274">
            <v>1</v>
          </cell>
          <cell r="C274">
            <v>2</v>
          </cell>
          <cell r="D274">
            <v>27</v>
          </cell>
          <cell r="E274">
            <v>3</v>
          </cell>
          <cell r="F274">
            <v>3</v>
          </cell>
          <cell r="G274">
            <v>2</v>
          </cell>
          <cell r="H274">
            <v>1</v>
          </cell>
          <cell r="I274">
            <v>38</v>
          </cell>
          <cell r="J274">
            <v>13</v>
          </cell>
          <cell r="K274">
            <v>85</v>
          </cell>
          <cell r="L274">
            <v>4</v>
          </cell>
          <cell r="N274">
            <v>17</v>
          </cell>
          <cell r="O274">
            <v>32</v>
          </cell>
          <cell r="P274">
            <v>4</v>
          </cell>
          <cell r="Q274">
            <v>3</v>
          </cell>
          <cell r="R274">
            <v>1</v>
          </cell>
          <cell r="U274">
            <v>168</v>
          </cell>
          <cell r="V274">
            <v>24</v>
          </cell>
          <cell r="W274">
            <v>1</v>
          </cell>
          <cell r="X274">
            <v>22</v>
          </cell>
          <cell r="Y274">
            <v>13</v>
          </cell>
          <cell r="Z274">
            <v>5</v>
          </cell>
          <cell r="AA274">
            <v>47</v>
          </cell>
          <cell r="AB274">
            <v>30</v>
          </cell>
          <cell r="AC274">
            <v>21</v>
          </cell>
          <cell r="AD274">
            <v>6</v>
          </cell>
          <cell r="AF274">
            <v>64</v>
          </cell>
        </row>
        <row r="275">
          <cell r="A275">
            <v>44835</v>
          </cell>
          <cell r="B275">
            <v>1</v>
          </cell>
          <cell r="C275">
            <v>1</v>
          </cell>
          <cell r="D275">
            <v>29</v>
          </cell>
          <cell r="E275">
            <v>5</v>
          </cell>
          <cell r="F275">
            <v>1</v>
          </cell>
          <cell r="G275">
            <v>5</v>
          </cell>
          <cell r="H275">
            <v>2</v>
          </cell>
          <cell r="I275">
            <v>27</v>
          </cell>
          <cell r="J275">
            <v>10</v>
          </cell>
          <cell r="K275">
            <v>27</v>
          </cell>
          <cell r="L275">
            <v>4</v>
          </cell>
          <cell r="N275">
            <v>11</v>
          </cell>
          <cell r="O275">
            <v>15</v>
          </cell>
          <cell r="P275">
            <v>3</v>
          </cell>
          <cell r="Q275">
            <v>9</v>
          </cell>
          <cell r="R275">
            <v>2</v>
          </cell>
          <cell r="T275">
            <v>1</v>
          </cell>
          <cell r="U275">
            <v>161</v>
          </cell>
          <cell r="V275">
            <v>32</v>
          </cell>
          <cell r="X275">
            <v>14</v>
          </cell>
          <cell r="Y275">
            <v>12</v>
          </cell>
          <cell r="Z275">
            <v>7</v>
          </cell>
          <cell r="AA275">
            <v>44</v>
          </cell>
          <cell r="AB275">
            <v>30</v>
          </cell>
          <cell r="AC275">
            <v>14</v>
          </cell>
          <cell r="AD275">
            <v>4</v>
          </cell>
          <cell r="AE275">
            <v>6</v>
          </cell>
          <cell r="AF275">
            <v>54</v>
          </cell>
        </row>
        <row r="276">
          <cell r="A276">
            <v>44836</v>
          </cell>
          <cell r="B276">
            <v>5</v>
          </cell>
          <cell r="C276">
            <v>3</v>
          </cell>
          <cell r="D276">
            <v>21</v>
          </cell>
          <cell r="E276">
            <v>4</v>
          </cell>
          <cell r="F276">
            <v>4</v>
          </cell>
          <cell r="G276">
            <v>4</v>
          </cell>
          <cell r="H276">
            <v>4</v>
          </cell>
          <cell r="I276">
            <v>43</v>
          </cell>
          <cell r="J276">
            <v>13</v>
          </cell>
          <cell r="K276">
            <v>32</v>
          </cell>
          <cell r="L276">
            <v>4</v>
          </cell>
          <cell r="N276">
            <v>14</v>
          </cell>
          <cell r="O276">
            <v>9</v>
          </cell>
          <cell r="P276">
            <v>12</v>
          </cell>
          <cell r="Q276">
            <v>1</v>
          </cell>
          <cell r="T276">
            <v>1</v>
          </cell>
          <cell r="U276">
            <v>131</v>
          </cell>
          <cell r="V276">
            <v>100</v>
          </cell>
          <cell r="X276">
            <v>11</v>
          </cell>
          <cell r="Y276">
            <v>10</v>
          </cell>
          <cell r="Z276">
            <v>12</v>
          </cell>
          <cell r="AA276">
            <v>78</v>
          </cell>
          <cell r="AB276">
            <v>33</v>
          </cell>
          <cell r="AC276">
            <v>33</v>
          </cell>
          <cell r="AD276">
            <v>7</v>
          </cell>
          <cell r="AE276">
            <v>4</v>
          </cell>
          <cell r="AF276">
            <v>49</v>
          </cell>
        </row>
        <row r="277">
          <cell r="A277">
            <v>44837</v>
          </cell>
          <cell r="B277">
            <v>15</v>
          </cell>
          <cell r="C277">
            <v>1</v>
          </cell>
          <cell r="D277">
            <v>19</v>
          </cell>
          <cell r="E277">
            <v>3</v>
          </cell>
          <cell r="F277">
            <v>6</v>
          </cell>
          <cell r="G277">
            <v>6</v>
          </cell>
          <cell r="H277">
            <v>2</v>
          </cell>
          <cell r="I277">
            <v>42</v>
          </cell>
          <cell r="J277">
            <v>5</v>
          </cell>
          <cell r="K277">
            <v>30</v>
          </cell>
          <cell r="L277">
            <v>14</v>
          </cell>
          <cell r="M277">
            <v>2</v>
          </cell>
          <cell r="N277">
            <v>14</v>
          </cell>
          <cell r="O277">
            <v>5</v>
          </cell>
          <cell r="P277">
            <v>7</v>
          </cell>
          <cell r="Q277">
            <v>7</v>
          </cell>
          <cell r="T277">
            <v>1</v>
          </cell>
          <cell r="U277">
            <v>67</v>
          </cell>
          <cell r="V277">
            <v>370</v>
          </cell>
          <cell r="X277">
            <v>6</v>
          </cell>
          <cell r="Y277">
            <v>17</v>
          </cell>
          <cell r="Z277">
            <v>15</v>
          </cell>
          <cell r="AA277">
            <v>38</v>
          </cell>
          <cell r="AB277">
            <v>38</v>
          </cell>
          <cell r="AC277">
            <v>40</v>
          </cell>
          <cell r="AD277">
            <v>21</v>
          </cell>
          <cell r="AE277">
            <v>9</v>
          </cell>
          <cell r="AF277">
            <v>53</v>
          </cell>
        </row>
        <row r="278">
          <cell r="A278">
            <v>44838</v>
          </cell>
          <cell r="B278">
            <v>40</v>
          </cell>
          <cell r="C278">
            <v>3</v>
          </cell>
          <cell r="D278">
            <v>59</v>
          </cell>
          <cell r="E278">
            <v>6</v>
          </cell>
          <cell r="F278">
            <v>24</v>
          </cell>
          <cell r="G278">
            <v>5</v>
          </cell>
          <cell r="I278">
            <v>52</v>
          </cell>
          <cell r="J278">
            <v>4</v>
          </cell>
          <cell r="K278">
            <v>17</v>
          </cell>
          <cell r="L278">
            <v>13</v>
          </cell>
          <cell r="N278">
            <v>14</v>
          </cell>
          <cell r="O278">
            <v>5</v>
          </cell>
          <cell r="P278">
            <v>14</v>
          </cell>
          <cell r="Q278">
            <v>12</v>
          </cell>
          <cell r="S278">
            <v>1</v>
          </cell>
          <cell r="T278">
            <v>1</v>
          </cell>
          <cell r="U278">
            <v>36</v>
          </cell>
          <cell r="V278">
            <v>273</v>
          </cell>
          <cell r="X278">
            <v>7</v>
          </cell>
          <cell r="Y278">
            <v>13</v>
          </cell>
          <cell r="Z278">
            <v>21</v>
          </cell>
          <cell r="AA278">
            <v>53</v>
          </cell>
          <cell r="AB278">
            <v>91</v>
          </cell>
          <cell r="AC278">
            <v>71</v>
          </cell>
          <cell r="AD278">
            <v>14</v>
          </cell>
          <cell r="AE278">
            <v>18</v>
          </cell>
          <cell r="AF278">
            <v>42</v>
          </cell>
        </row>
        <row r="279">
          <cell r="A279">
            <v>44839</v>
          </cell>
          <cell r="B279">
            <v>22</v>
          </cell>
          <cell r="C279">
            <v>3</v>
          </cell>
          <cell r="D279">
            <v>60</v>
          </cell>
          <cell r="E279">
            <v>11</v>
          </cell>
          <cell r="F279">
            <v>36</v>
          </cell>
          <cell r="G279">
            <v>7</v>
          </cell>
          <cell r="H279">
            <v>1</v>
          </cell>
          <cell r="I279">
            <v>56</v>
          </cell>
          <cell r="J279">
            <v>9</v>
          </cell>
          <cell r="K279">
            <v>12</v>
          </cell>
          <cell r="L279">
            <v>10</v>
          </cell>
          <cell r="M279">
            <v>2</v>
          </cell>
          <cell r="N279">
            <v>25</v>
          </cell>
          <cell r="O279">
            <v>11</v>
          </cell>
          <cell r="P279">
            <v>8</v>
          </cell>
          <cell r="Q279">
            <v>2</v>
          </cell>
          <cell r="R279">
            <v>3</v>
          </cell>
          <cell r="S279">
            <v>7</v>
          </cell>
          <cell r="T279">
            <v>6</v>
          </cell>
          <cell r="U279">
            <v>35</v>
          </cell>
          <cell r="V279">
            <v>457</v>
          </cell>
          <cell r="X279">
            <v>9</v>
          </cell>
          <cell r="Y279">
            <v>12</v>
          </cell>
          <cell r="Z279">
            <v>33</v>
          </cell>
          <cell r="AA279">
            <v>64</v>
          </cell>
          <cell r="AB279">
            <v>97</v>
          </cell>
          <cell r="AC279">
            <v>35</v>
          </cell>
          <cell r="AD279">
            <v>19</v>
          </cell>
          <cell r="AE279">
            <v>46</v>
          </cell>
          <cell r="AF279">
            <v>40</v>
          </cell>
        </row>
        <row r="280">
          <cell r="A280">
            <v>44840</v>
          </cell>
          <cell r="B280">
            <v>24</v>
          </cell>
          <cell r="C280">
            <v>3</v>
          </cell>
          <cell r="D280">
            <v>15</v>
          </cell>
          <cell r="E280">
            <v>18</v>
          </cell>
          <cell r="F280">
            <v>49</v>
          </cell>
          <cell r="G280">
            <v>7</v>
          </cell>
          <cell r="H280">
            <v>1</v>
          </cell>
          <cell r="I280">
            <v>68</v>
          </cell>
          <cell r="J280">
            <v>13</v>
          </cell>
          <cell r="K280">
            <v>14</v>
          </cell>
          <cell r="L280">
            <v>15</v>
          </cell>
          <cell r="M280">
            <v>9</v>
          </cell>
          <cell r="N280">
            <v>22</v>
          </cell>
          <cell r="O280">
            <v>13</v>
          </cell>
          <cell r="P280">
            <v>26</v>
          </cell>
          <cell r="Q280">
            <v>16</v>
          </cell>
          <cell r="S280">
            <v>7</v>
          </cell>
          <cell r="T280">
            <v>2</v>
          </cell>
          <cell r="U280">
            <v>32</v>
          </cell>
          <cell r="V280">
            <v>668</v>
          </cell>
          <cell r="W280">
            <v>1</v>
          </cell>
          <cell r="X280">
            <v>10</v>
          </cell>
          <cell r="Y280">
            <v>29</v>
          </cell>
          <cell r="Z280">
            <v>50</v>
          </cell>
          <cell r="AA280">
            <v>77</v>
          </cell>
          <cell r="AB280">
            <v>96</v>
          </cell>
          <cell r="AC280">
            <v>44</v>
          </cell>
          <cell r="AD280">
            <v>15</v>
          </cell>
          <cell r="AE280">
            <v>56</v>
          </cell>
          <cell r="AF280">
            <v>35</v>
          </cell>
        </row>
        <row r="281">
          <cell r="A281">
            <v>44841</v>
          </cell>
          <cell r="B281">
            <v>26</v>
          </cell>
          <cell r="C281">
            <v>3</v>
          </cell>
          <cell r="D281">
            <v>8</v>
          </cell>
          <cell r="E281">
            <v>23</v>
          </cell>
          <cell r="F281">
            <v>36</v>
          </cell>
          <cell r="G281">
            <v>9</v>
          </cell>
          <cell r="H281">
            <v>3</v>
          </cell>
          <cell r="I281">
            <v>66</v>
          </cell>
          <cell r="J281">
            <v>13</v>
          </cell>
          <cell r="K281">
            <v>8</v>
          </cell>
          <cell r="L281">
            <v>52</v>
          </cell>
          <cell r="M281">
            <v>3</v>
          </cell>
          <cell r="N281">
            <v>24</v>
          </cell>
          <cell r="O281">
            <v>6</v>
          </cell>
          <cell r="P281">
            <v>11</v>
          </cell>
          <cell r="Q281">
            <v>14</v>
          </cell>
          <cell r="R281">
            <v>2</v>
          </cell>
          <cell r="S281">
            <v>9</v>
          </cell>
          <cell r="T281">
            <v>5</v>
          </cell>
          <cell r="U281">
            <v>37</v>
          </cell>
          <cell r="V281">
            <v>505</v>
          </cell>
          <cell r="X281">
            <v>12</v>
          </cell>
          <cell r="Y281">
            <v>55</v>
          </cell>
          <cell r="Z281">
            <v>43</v>
          </cell>
          <cell r="AA281">
            <v>76</v>
          </cell>
          <cell r="AB281">
            <v>348</v>
          </cell>
          <cell r="AC281">
            <v>38</v>
          </cell>
          <cell r="AD281">
            <v>7</v>
          </cell>
          <cell r="AE281">
            <v>108</v>
          </cell>
          <cell r="AF281">
            <v>31</v>
          </cell>
        </row>
        <row r="282">
          <cell r="A282">
            <v>44842</v>
          </cell>
          <cell r="B282">
            <v>17</v>
          </cell>
          <cell r="C282">
            <v>8</v>
          </cell>
          <cell r="D282">
            <v>4</v>
          </cell>
          <cell r="E282">
            <v>21</v>
          </cell>
          <cell r="F282">
            <v>19</v>
          </cell>
          <cell r="G282">
            <v>23</v>
          </cell>
          <cell r="H282">
            <v>4</v>
          </cell>
          <cell r="I282">
            <v>48</v>
          </cell>
          <cell r="J282">
            <v>3</v>
          </cell>
          <cell r="K282">
            <v>17</v>
          </cell>
          <cell r="L282">
            <v>61</v>
          </cell>
          <cell r="M282">
            <v>8</v>
          </cell>
          <cell r="N282">
            <v>37</v>
          </cell>
          <cell r="O282">
            <v>7</v>
          </cell>
          <cell r="P282">
            <v>20</v>
          </cell>
          <cell r="Q282">
            <v>12</v>
          </cell>
          <cell r="S282">
            <v>7</v>
          </cell>
          <cell r="T282">
            <v>23</v>
          </cell>
          <cell r="U282">
            <v>35</v>
          </cell>
          <cell r="V282">
            <v>560</v>
          </cell>
          <cell r="X282">
            <v>8</v>
          </cell>
          <cell r="Y282">
            <v>35</v>
          </cell>
          <cell r="Z282">
            <v>49</v>
          </cell>
          <cell r="AA282">
            <v>62</v>
          </cell>
          <cell r="AB282">
            <v>436</v>
          </cell>
          <cell r="AC282">
            <v>47</v>
          </cell>
          <cell r="AD282">
            <v>10</v>
          </cell>
          <cell r="AE282">
            <v>31</v>
          </cell>
          <cell r="AF282">
            <v>33</v>
          </cell>
        </row>
        <row r="283">
          <cell r="A283">
            <v>44843</v>
          </cell>
          <cell r="B283">
            <v>19</v>
          </cell>
          <cell r="C283">
            <v>14</v>
          </cell>
          <cell r="E283">
            <v>34</v>
          </cell>
          <cell r="F283">
            <v>25</v>
          </cell>
          <cell r="G283">
            <v>41</v>
          </cell>
          <cell r="H283">
            <v>7</v>
          </cell>
          <cell r="I283">
            <v>51</v>
          </cell>
          <cell r="J283">
            <v>4</v>
          </cell>
          <cell r="K283">
            <v>8</v>
          </cell>
          <cell r="L283">
            <v>68</v>
          </cell>
          <cell r="M283">
            <v>3</v>
          </cell>
          <cell r="N283">
            <v>54</v>
          </cell>
          <cell r="O283">
            <v>2</v>
          </cell>
          <cell r="P283">
            <v>22</v>
          </cell>
          <cell r="Q283">
            <v>20</v>
          </cell>
          <cell r="R283">
            <v>4</v>
          </cell>
          <cell r="S283">
            <v>5</v>
          </cell>
          <cell r="T283">
            <v>30</v>
          </cell>
          <cell r="U283">
            <v>52</v>
          </cell>
          <cell r="V283">
            <v>652</v>
          </cell>
          <cell r="X283">
            <v>13</v>
          </cell>
          <cell r="Y283">
            <v>38</v>
          </cell>
          <cell r="Z283">
            <v>26</v>
          </cell>
          <cell r="AA283">
            <v>85</v>
          </cell>
          <cell r="AB283">
            <v>441</v>
          </cell>
          <cell r="AC283">
            <v>75</v>
          </cell>
          <cell r="AD283">
            <v>9</v>
          </cell>
          <cell r="AE283">
            <v>48</v>
          </cell>
          <cell r="AF283">
            <v>28</v>
          </cell>
        </row>
        <row r="284">
          <cell r="A284">
            <v>44844</v>
          </cell>
          <cell r="B284">
            <v>25</v>
          </cell>
          <cell r="C284">
            <v>14</v>
          </cell>
          <cell r="D284">
            <v>7</v>
          </cell>
          <cell r="E284">
            <v>28</v>
          </cell>
          <cell r="F284">
            <v>45</v>
          </cell>
          <cell r="G284">
            <v>21</v>
          </cell>
          <cell r="H284">
            <v>4</v>
          </cell>
          <cell r="I284">
            <v>53</v>
          </cell>
          <cell r="J284">
            <v>5</v>
          </cell>
          <cell r="K284">
            <v>7</v>
          </cell>
          <cell r="L284">
            <v>55</v>
          </cell>
          <cell r="N284">
            <v>32</v>
          </cell>
          <cell r="O284">
            <v>6</v>
          </cell>
          <cell r="P284">
            <v>18</v>
          </cell>
          <cell r="Q284">
            <v>18</v>
          </cell>
          <cell r="S284">
            <v>14</v>
          </cell>
          <cell r="T284">
            <v>25</v>
          </cell>
          <cell r="U284">
            <v>48</v>
          </cell>
          <cell r="V284">
            <v>735</v>
          </cell>
          <cell r="X284">
            <v>18</v>
          </cell>
          <cell r="Y284">
            <v>37</v>
          </cell>
          <cell r="Z284">
            <v>24</v>
          </cell>
          <cell r="AA284">
            <v>188</v>
          </cell>
          <cell r="AB284">
            <v>453</v>
          </cell>
          <cell r="AC284">
            <v>47</v>
          </cell>
          <cell r="AD284">
            <v>8</v>
          </cell>
          <cell r="AE284">
            <v>29</v>
          </cell>
          <cell r="AF284">
            <v>25</v>
          </cell>
        </row>
        <row r="285">
          <cell r="A285">
            <v>44845</v>
          </cell>
          <cell r="B285">
            <v>25</v>
          </cell>
          <cell r="C285">
            <v>11</v>
          </cell>
          <cell r="D285">
            <v>4</v>
          </cell>
          <cell r="E285">
            <v>38</v>
          </cell>
          <cell r="F285">
            <v>42</v>
          </cell>
          <cell r="G285">
            <v>26</v>
          </cell>
          <cell r="H285">
            <v>1</v>
          </cell>
          <cell r="I285">
            <v>51</v>
          </cell>
          <cell r="J285">
            <v>1</v>
          </cell>
          <cell r="K285">
            <v>2</v>
          </cell>
          <cell r="L285">
            <v>40</v>
          </cell>
          <cell r="M285">
            <v>2</v>
          </cell>
          <cell r="N285">
            <v>58</v>
          </cell>
          <cell r="O285">
            <v>19</v>
          </cell>
          <cell r="P285">
            <v>21</v>
          </cell>
          <cell r="Q285">
            <v>16</v>
          </cell>
          <cell r="S285">
            <v>10</v>
          </cell>
          <cell r="T285">
            <v>42</v>
          </cell>
          <cell r="U285">
            <v>45</v>
          </cell>
          <cell r="V285">
            <v>498</v>
          </cell>
          <cell r="X285">
            <v>18</v>
          </cell>
          <cell r="Y285">
            <v>134</v>
          </cell>
          <cell r="Z285">
            <v>35</v>
          </cell>
          <cell r="AA285">
            <v>43</v>
          </cell>
          <cell r="AB285">
            <v>436</v>
          </cell>
          <cell r="AC285">
            <v>52</v>
          </cell>
          <cell r="AD285">
            <v>6</v>
          </cell>
          <cell r="AE285">
            <v>9</v>
          </cell>
          <cell r="AF285">
            <v>24</v>
          </cell>
        </row>
        <row r="286">
          <cell r="A286">
            <v>44846</v>
          </cell>
          <cell r="B286">
            <v>27</v>
          </cell>
          <cell r="C286">
            <v>18</v>
          </cell>
          <cell r="D286">
            <v>1</v>
          </cell>
          <cell r="E286">
            <v>47</v>
          </cell>
          <cell r="F286">
            <v>28</v>
          </cell>
          <cell r="G286">
            <v>23</v>
          </cell>
          <cell r="H286">
            <v>3</v>
          </cell>
          <cell r="I286">
            <v>47</v>
          </cell>
          <cell r="J286">
            <v>2</v>
          </cell>
          <cell r="K286">
            <v>2</v>
          </cell>
          <cell r="L286">
            <v>25</v>
          </cell>
          <cell r="M286">
            <v>1</v>
          </cell>
          <cell r="N286">
            <v>35</v>
          </cell>
          <cell r="O286">
            <v>11</v>
          </cell>
          <cell r="P286">
            <v>9</v>
          </cell>
          <cell r="Q286">
            <v>18</v>
          </cell>
          <cell r="S286">
            <v>8</v>
          </cell>
          <cell r="T286">
            <v>48</v>
          </cell>
          <cell r="U286">
            <v>55</v>
          </cell>
          <cell r="V286">
            <v>316</v>
          </cell>
          <cell r="X286">
            <v>25</v>
          </cell>
          <cell r="Y286">
            <v>91</v>
          </cell>
          <cell r="Z286">
            <v>25</v>
          </cell>
          <cell r="AA286">
            <v>46</v>
          </cell>
          <cell r="AB286">
            <v>401</v>
          </cell>
          <cell r="AC286">
            <v>57</v>
          </cell>
          <cell r="AD286">
            <v>3</v>
          </cell>
          <cell r="AE286">
            <v>15</v>
          </cell>
          <cell r="AF286">
            <v>19</v>
          </cell>
        </row>
        <row r="287">
          <cell r="A287">
            <v>44847</v>
          </cell>
          <cell r="B287">
            <v>32</v>
          </cell>
          <cell r="C287">
            <v>21</v>
          </cell>
          <cell r="D287">
            <v>7</v>
          </cell>
          <cell r="E287">
            <v>49</v>
          </cell>
          <cell r="F287">
            <v>22</v>
          </cell>
          <cell r="G287">
            <v>42</v>
          </cell>
          <cell r="I287">
            <v>61</v>
          </cell>
          <cell r="L287">
            <v>7</v>
          </cell>
          <cell r="N287">
            <v>15</v>
          </cell>
          <cell r="O287">
            <v>62</v>
          </cell>
          <cell r="P287">
            <v>7</v>
          </cell>
          <cell r="Q287">
            <v>4</v>
          </cell>
          <cell r="R287">
            <v>1</v>
          </cell>
          <cell r="S287">
            <v>32</v>
          </cell>
          <cell r="T287">
            <v>33</v>
          </cell>
          <cell r="U287">
            <v>26</v>
          </cell>
          <cell r="V287">
            <v>224</v>
          </cell>
          <cell r="X287">
            <v>28</v>
          </cell>
          <cell r="Y287">
            <v>64</v>
          </cell>
          <cell r="Z287">
            <v>25</v>
          </cell>
          <cell r="AA287">
            <v>36</v>
          </cell>
          <cell r="AB287">
            <v>329</v>
          </cell>
          <cell r="AC287">
            <v>58</v>
          </cell>
          <cell r="AD287">
            <v>3</v>
          </cell>
          <cell r="AE287">
            <v>22</v>
          </cell>
          <cell r="AF287">
            <v>8</v>
          </cell>
        </row>
        <row r="288">
          <cell r="A288">
            <v>44848</v>
          </cell>
          <cell r="B288">
            <v>29</v>
          </cell>
          <cell r="C288">
            <v>9</v>
          </cell>
          <cell r="D288">
            <v>7</v>
          </cell>
          <cell r="E288">
            <v>42</v>
          </cell>
          <cell r="F288">
            <v>29</v>
          </cell>
          <cell r="G288">
            <v>22</v>
          </cell>
          <cell r="H288">
            <v>2</v>
          </cell>
          <cell r="I288">
            <v>86</v>
          </cell>
          <cell r="J288">
            <v>1</v>
          </cell>
          <cell r="K288">
            <v>7</v>
          </cell>
          <cell r="L288">
            <v>3</v>
          </cell>
          <cell r="N288">
            <v>17</v>
          </cell>
          <cell r="O288">
            <v>65</v>
          </cell>
          <cell r="P288">
            <v>7</v>
          </cell>
          <cell r="Q288">
            <v>7</v>
          </cell>
          <cell r="S288">
            <v>21</v>
          </cell>
          <cell r="T288">
            <v>23</v>
          </cell>
          <cell r="U288">
            <v>18</v>
          </cell>
          <cell r="V288">
            <v>144</v>
          </cell>
          <cell r="X288">
            <v>13</v>
          </cell>
          <cell r="Y288">
            <v>39</v>
          </cell>
          <cell r="Z288">
            <v>31</v>
          </cell>
          <cell r="AA288">
            <v>58</v>
          </cell>
          <cell r="AB288">
            <v>371</v>
          </cell>
          <cell r="AC288">
            <v>34</v>
          </cell>
          <cell r="AD288">
            <v>9</v>
          </cell>
          <cell r="AE288">
            <v>38</v>
          </cell>
          <cell r="AF288">
            <v>10</v>
          </cell>
        </row>
        <row r="289">
          <cell r="A289">
            <v>44849</v>
          </cell>
          <cell r="B289">
            <v>27</v>
          </cell>
          <cell r="C289">
            <v>19</v>
          </cell>
          <cell r="D289">
            <v>9</v>
          </cell>
          <cell r="E289">
            <v>28</v>
          </cell>
          <cell r="F289">
            <v>11</v>
          </cell>
          <cell r="G289">
            <v>20</v>
          </cell>
          <cell r="I289">
            <v>59</v>
          </cell>
          <cell r="J289">
            <v>3</v>
          </cell>
          <cell r="K289">
            <v>9</v>
          </cell>
          <cell r="L289">
            <v>5</v>
          </cell>
          <cell r="M289">
            <v>1</v>
          </cell>
          <cell r="N289">
            <v>24</v>
          </cell>
          <cell r="O289">
            <v>10</v>
          </cell>
          <cell r="P289">
            <v>10</v>
          </cell>
          <cell r="Q289">
            <v>3</v>
          </cell>
          <cell r="R289">
            <v>1</v>
          </cell>
          <cell r="S289">
            <v>9</v>
          </cell>
          <cell r="T289">
            <v>10</v>
          </cell>
          <cell r="U289">
            <v>9</v>
          </cell>
          <cell r="V289">
            <v>56</v>
          </cell>
          <cell r="X289">
            <v>6</v>
          </cell>
          <cell r="Y289">
            <v>44</v>
          </cell>
          <cell r="Z289">
            <v>37</v>
          </cell>
          <cell r="AA289">
            <v>40</v>
          </cell>
          <cell r="AB289">
            <v>293</v>
          </cell>
          <cell r="AC289">
            <v>31</v>
          </cell>
          <cell r="AD289">
            <v>17</v>
          </cell>
          <cell r="AE289">
            <v>29</v>
          </cell>
          <cell r="AF289">
            <v>7</v>
          </cell>
        </row>
        <row r="290">
          <cell r="A290">
            <v>44850</v>
          </cell>
          <cell r="B290">
            <v>29</v>
          </cell>
          <cell r="C290">
            <v>13</v>
          </cell>
          <cell r="D290">
            <v>16</v>
          </cell>
          <cell r="E290">
            <v>32</v>
          </cell>
          <cell r="F290">
            <v>14</v>
          </cell>
          <cell r="G290">
            <v>10</v>
          </cell>
          <cell r="I290">
            <v>61</v>
          </cell>
          <cell r="J290">
            <v>2</v>
          </cell>
          <cell r="K290">
            <v>8</v>
          </cell>
          <cell r="L290">
            <v>2</v>
          </cell>
          <cell r="N290">
            <v>14</v>
          </cell>
          <cell r="O290">
            <v>8</v>
          </cell>
          <cell r="P290">
            <v>16</v>
          </cell>
          <cell r="Q290">
            <v>12</v>
          </cell>
          <cell r="S290">
            <v>1</v>
          </cell>
          <cell r="T290">
            <v>8</v>
          </cell>
          <cell r="U290">
            <v>7</v>
          </cell>
          <cell r="V290">
            <v>39</v>
          </cell>
          <cell r="X290">
            <v>8</v>
          </cell>
          <cell r="Y290">
            <v>56</v>
          </cell>
          <cell r="Z290">
            <v>32</v>
          </cell>
          <cell r="AA290">
            <v>34</v>
          </cell>
          <cell r="AB290">
            <v>188</v>
          </cell>
          <cell r="AC290">
            <v>35</v>
          </cell>
          <cell r="AD290">
            <v>21</v>
          </cell>
          <cell r="AE290">
            <v>23</v>
          </cell>
          <cell r="AF290">
            <v>8</v>
          </cell>
        </row>
        <row r="291">
          <cell r="A291">
            <v>44851</v>
          </cell>
          <cell r="B291">
            <v>28</v>
          </cell>
          <cell r="C291">
            <v>15</v>
          </cell>
          <cell r="D291">
            <v>8</v>
          </cell>
          <cell r="E291">
            <v>15</v>
          </cell>
          <cell r="F291">
            <v>10</v>
          </cell>
          <cell r="G291">
            <v>6</v>
          </cell>
          <cell r="I291">
            <v>97</v>
          </cell>
          <cell r="J291">
            <v>11</v>
          </cell>
          <cell r="K291">
            <v>6</v>
          </cell>
          <cell r="L291">
            <v>11</v>
          </cell>
          <cell r="N291">
            <v>13</v>
          </cell>
          <cell r="O291">
            <v>8</v>
          </cell>
          <cell r="P291">
            <v>59</v>
          </cell>
          <cell r="Q291">
            <v>13</v>
          </cell>
          <cell r="S291">
            <v>3</v>
          </cell>
          <cell r="T291">
            <v>6</v>
          </cell>
          <cell r="U291">
            <v>5</v>
          </cell>
          <cell r="V291">
            <v>46</v>
          </cell>
          <cell r="X291">
            <v>10</v>
          </cell>
          <cell r="Y291">
            <v>72</v>
          </cell>
          <cell r="Z291">
            <v>36</v>
          </cell>
          <cell r="AA291">
            <v>44</v>
          </cell>
          <cell r="AB291">
            <v>141</v>
          </cell>
          <cell r="AC291">
            <v>33</v>
          </cell>
          <cell r="AD291">
            <v>34</v>
          </cell>
          <cell r="AE291">
            <v>37</v>
          </cell>
          <cell r="AF291">
            <v>8</v>
          </cell>
        </row>
        <row r="292">
          <cell r="A292">
            <v>44852</v>
          </cell>
          <cell r="B292">
            <v>23</v>
          </cell>
          <cell r="C292">
            <v>41</v>
          </cell>
          <cell r="D292">
            <v>9</v>
          </cell>
          <cell r="E292">
            <v>15</v>
          </cell>
          <cell r="F292">
            <v>25</v>
          </cell>
          <cell r="G292">
            <v>3</v>
          </cell>
          <cell r="H292">
            <v>3</v>
          </cell>
          <cell r="I292">
            <v>97</v>
          </cell>
          <cell r="J292">
            <v>20</v>
          </cell>
          <cell r="K292">
            <v>8</v>
          </cell>
          <cell r="L292">
            <v>2</v>
          </cell>
          <cell r="N292">
            <v>31</v>
          </cell>
          <cell r="O292">
            <v>3</v>
          </cell>
          <cell r="P292">
            <v>48</v>
          </cell>
          <cell r="Q292">
            <v>8</v>
          </cell>
          <cell r="R292">
            <v>3</v>
          </cell>
          <cell r="S292">
            <v>1</v>
          </cell>
          <cell r="T292">
            <v>3</v>
          </cell>
          <cell r="U292">
            <v>7</v>
          </cell>
          <cell r="V292">
            <v>72</v>
          </cell>
          <cell r="X292">
            <v>12</v>
          </cell>
          <cell r="Y292">
            <v>45</v>
          </cell>
          <cell r="Z292">
            <v>59</v>
          </cell>
          <cell r="AA292">
            <v>33</v>
          </cell>
          <cell r="AB292">
            <v>122</v>
          </cell>
          <cell r="AC292">
            <v>32</v>
          </cell>
          <cell r="AD292">
            <v>48</v>
          </cell>
          <cell r="AE292">
            <v>39</v>
          </cell>
          <cell r="AF292">
            <v>8</v>
          </cell>
        </row>
        <row r="293">
          <cell r="A293">
            <v>44853</v>
          </cell>
          <cell r="B293">
            <v>24</v>
          </cell>
          <cell r="C293">
            <v>15</v>
          </cell>
          <cell r="D293">
            <v>30</v>
          </cell>
          <cell r="E293">
            <v>10</v>
          </cell>
          <cell r="F293">
            <v>23</v>
          </cell>
          <cell r="G293">
            <v>5</v>
          </cell>
          <cell r="H293">
            <v>1</v>
          </cell>
          <cell r="I293">
            <v>84</v>
          </cell>
          <cell r="J293">
            <v>19</v>
          </cell>
          <cell r="K293">
            <v>4</v>
          </cell>
          <cell r="L293">
            <v>15</v>
          </cell>
          <cell r="N293">
            <v>24</v>
          </cell>
          <cell r="P293">
            <v>45</v>
          </cell>
          <cell r="Q293">
            <v>18</v>
          </cell>
          <cell r="R293">
            <v>5</v>
          </cell>
          <cell r="T293">
            <v>4</v>
          </cell>
          <cell r="U293">
            <v>6</v>
          </cell>
          <cell r="V293">
            <v>79</v>
          </cell>
          <cell r="W293">
            <v>1</v>
          </cell>
          <cell r="X293">
            <v>15</v>
          </cell>
          <cell r="Y293">
            <v>13</v>
          </cell>
          <cell r="Z293">
            <v>71</v>
          </cell>
          <cell r="AA293">
            <v>42</v>
          </cell>
          <cell r="AB293">
            <v>127</v>
          </cell>
          <cell r="AC293">
            <v>47</v>
          </cell>
          <cell r="AD293">
            <v>27</v>
          </cell>
          <cell r="AE293">
            <v>30</v>
          </cell>
          <cell r="AF293">
            <v>3</v>
          </cell>
        </row>
        <row r="294">
          <cell r="A294">
            <v>44854</v>
          </cell>
          <cell r="B294">
            <v>16</v>
          </cell>
          <cell r="C294">
            <v>13</v>
          </cell>
          <cell r="D294">
            <v>59</v>
          </cell>
          <cell r="E294">
            <v>13</v>
          </cell>
          <cell r="F294">
            <v>7</v>
          </cell>
          <cell r="G294">
            <v>9</v>
          </cell>
          <cell r="H294">
            <v>1</v>
          </cell>
          <cell r="I294">
            <v>89</v>
          </cell>
          <cell r="J294">
            <v>25</v>
          </cell>
          <cell r="K294">
            <v>5</v>
          </cell>
          <cell r="L294">
            <v>16</v>
          </cell>
          <cell r="N294">
            <v>21</v>
          </cell>
          <cell r="O294">
            <v>6</v>
          </cell>
          <cell r="P294">
            <v>38</v>
          </cell>
          <cell r="Q294">
            <v>11</v>
          </cell>
          <cell r="R294">
            <v>2</v>
          </cell>
          <cell r="U294">
            <v>6</v>
          </cell>
          <cell r="V294">
            <v>88</v>
          </cell>
          <cell r="W294">
            <v>4</v>
          </cell>
          <cell r="X294">
            <v>18</v>
          </cell>
          <cell r="Y294">
            <v>17</v>
          </cell>
          <cell r="Z294">
            <v>68</v>
          </cell>
          <cell r="AA294">
            <v>23</v>
          </cell>
          <cell r="AB294">
            <v>120</v>
          </cell>
          <cell r="AC294">
            <v>40</v>
          </cell>
          <cell r="AD294">
            <v>24</v>
          </cell>
          <cell r="AE294">
            <v>40</v>
          </cell>
          <cell r="AF294">
            <v>4</v>
          </cell>
        </row>
        <row r="295">
          <cell r="A295">
            <v>44855</v>
          </cell>
          <cell r="B295">
            <v>19</v>
          </cell>
          <cell r="C295">
            <v>17</v>
          </cell>
          <cell r="D295">
            <v>56</v>
          </cell>
          <cell r="E295">
            <v>16</v>
          </cell>
          <cell r="F295">
            <v>7</v>
          </cell>
          <cell r="G295">
            <v>8</v>
          </cell>
          <cell r="I295">
            <v>93</v>
          </cell>
          <cell r="J295">
            <v>21</v>
          </cell>
          <cell r="K295">
            <v>1</v>
          </cell>
          <cell r="L295">
            <v>8</v>
          </cell>
          <cell r="N295">
            <v>20</v>
          </cell>
          <cell r="O295">
            <v>9</v>
          </cell>
          <cell r="P295">
            <v>46</v>
          </cell>
          <cell r="Q295">
            <v>10</v>
          </cell>
          <cell r="U295">
            <v>5</v>
          </cell>
          <cell r="V295">
            <v>97</v>
          </cell>
          <cell r="W295">
            <v>11</v>
          </cell>
          <cell r="X295">
            <v>19</v>
          </cell>
          <cell r="Y295">
            <v>27</v>
          </cell>
          <cell r="Z295">
            <v>50</v>
          </cell>
          <cell r="AA295">
            <v>25</v>
          </cell>
          <cell r="AB295">
            <v>133</v>
          </cell>
          <cell r="AC295">
            <v>40</v>
          </cell>
          <cell r="AD295">
            <v>14</v>
          </cell>
          <cell r="AE295">
            <v>37</v>
          </cell>
          <cell r="AF295">
            <v>6</v>
          </cell>
        </row>
        <row r="296">
          <cell r="A296">
            <v>44856</v>
          </cell>
          <cell r="B296">
            <v>14</v>
          </cell>
          <cell r="C296">
            <v>8</v>
          </cell>
          <cell r="D296">
            <v>54</v>
          </cell>
          <cell r="E296">
            <v>12</v>
          </cell>
          <cell r="F296">
            <v>2</v>
          </cell>
          <cell r="G296">
            <v>9</v>
          </cell>
          <cell r="I296">
            <v>89</v>
          </cell>
          <cell r="J296">
            <v>18</v>
          </cell>
          <cell r="K296">
            <v>1</v>
          </cell>
          <cell r="L296">
            <v>5</v>
          </cell>
          <cell r="N296">
            <v>23</v>
          </cell>
          <cell r="O296">
            <v>12</v>
          </cell>
          <cell r="P296">
            <v>67</v>
          </cell>
          <cell r="Q296">
            <v>5</v>
          </cell>
          <cell r="U296">
            <v>5</v>
          </cell>
          <cell r="V296">
            <v>103</v>
          </cell>
          <cell r="W296">
            <v>19</v>
          </cell>
          <cell r="X296">
            <v>25</v>
          </cell>
          <cell r="Y296">
            <v>39</v>
          </cell>
          <cell r="Z296">
            <v>67</v>
          </cell>
          <cell r="AA296">
            <v>28</v>
          </cell>
          <cell r="AB296">
            <v>131</v>
          </cell>
          <cell r="AC296">
            <v>25</v>
          </cell>
          <cell r="AD296">
            <v>18</v>
          </cell>
          <cell r="AE296">
            <v>39</v>
          </cell>
          <cell r="AF296">
            <v>5</v>
          </cell>
        </row>
        <row r="297">
          <cell r="A297">
            <v>44857</v>
          </cell>
          <cell r="B297">
            <v>19</v>
          </cell>
          <cell r="C297">
            <v>9</v>
          </cell>
          <cell r="D297">
            <v>41</v>
          </cell>
          <cell r="E297">
            <v>12</v>
          </cell>
          <cell r="F297">
            <v>9</v>
          </cell>
          <cell r="G297">
            <v>23</v>
          </cell>
          <cell r="H297">
            <v>23</v>
          </cell>
          <cell r="I297">
            <v>93</v>
          </cell>
          <cell r="J297">
            <v>10</v>
          </cell>
          <cell r="K297">
            <v>2</v>
          </cell>
          <cell r="L297">
            <v>8</v>
          </cell>
          <cell r="N297">
            <v>23</v>
          </cell>
          <cell r="O297">
            <v>15</v>
          </cell>
          <cell r="P297">
            <v>76</v>
          </cell>
          <cell r="Q297">
            <v>5</v>
          </cell>
          <cell r="S297">
            <v>2</v>
          </cell>
          <cell r="T297">
            <v>2</v>
          </cell>
          <cell r="U297">
            <v>5</v>
          </cell>
          <cell r="V297">
            <v>98</v>
          </cell>
          <cell r="W297">
            <v>20</v>
          </cell>
          <cell r="X297">
            <v>37</v>
          </cell>
          <cell r="Y297">
            <v>67</v>
          </cell>
          <cell r="Z297">
            <v>80</v>
          </cell>
          <cell r="AA297">
            <v>30</v>
          </cell>
          <cell r="AB297">
            <v>135</v>
          </cell>
          <cell r="AC297">
            <v>34</v>
          </cell>
          <cell r="AD297">
            <v>7</v>
          </cell>
          <cell r="AE297">
            <v>29</v>
          </cell>
          <cell r="AF297">
            <v>5</v>
          </cell>
        </row>
        <row r="298">
          <cell r="A298">
            <v>44858</v>
          </cell>
          <cell r="B298">
            <v>15</v>
          </cell>
          <cell r="C298">
            <v>18</v>
          </cell>
          <cell r="D298">
            <v>39</v>
          </cell>
          <cell r="E298">
            <v>19</v>
          </cell>
          <cell r="F298">
            <v>13</v>
          </cell>
          <cell r="G298">
            <v>15</v>
          </cell>
          <cell r="H298">
            <v>57</v>
          </cell>
          <cell r="I298">
            <v>93</v>
          </cell>
          <cell r="J298">
            <v>7</v>
          </cell>
          <cell r="K298">
            <v>1</v>
          </cell>
          <cell r="L298">
            <v>12</v>
          </cell>
          <cell r="N298">
            <v>25</v>
          </cell>
          <cell r="O298">
            <v>4</v>
          </cell>
          <cell r="P298">
            <v>88</v>
          </cell>
          <cell r="Q298">
            <v>5</v>
          </cell>
          <cell r="R298">
            <v>1</v>
          </cell>
          <cell r="U298">
            <v>4</v>
          </cell>
          <cell r="V298">
            <v>98</v>
          </cell>
          <cell r="W298">
            <v>32</v>
          </cell>
          <cell r="X298">
            <v>34</v>
          </cell>
          <cell r="Y298">
            <v>144</v>
          </cell>
          <cell r="Z298">
            <v>84</v>
          </cell>
          <cell r="AA298">
            <v>59</v>
          </cell>
          <cell r="AB298">
            <v>133</v>
          </cell>
          <cell r="AC298">
            <v>33</v>
          </cell>
          <cell r="AD298">
            <v>2</v>
          </cell>
          <cell r="AE298">
            <v>27</v>
          </cell>
          <cell r="AF298">
            <v>6</v>
          </cell>
        </row>
        <row r="299">
          <cell r="A299">
            <v>44859</v>
          </cell>
          <cell r="B299">
            <v>22</v>
          </cell>
          <cell r="C299">
            <v>19</v>
          </cell>
          <cell r="D299">
            <v>20</v>
          </cell>
          <cell r="E299">
            <v>19</v>
          </cell>
          <cell r="F299">
            <v>19</v>
          </cell>
          <cell r="G299">
            <v>11</v>
          </cell>
          <cell r="H299">
            <v>92</v>
          </cell>
          <cell r="I299">
            <v>112</v>
          </cell>
          <cell r="J299">
            <v>7</v>
          </cell>
          <cell r="L299">
            <v>14</v>
          </cell>
          <cell r="N299">
            <v>24</v>
          </cell>
          <cell r="O299">
            <v>6</v>
          </cell>
          <cell r="P299">
            <v>69</v>
          </cell>
          <cell r="Q299">
            <v>7</v>
          </cell>
          <cell r="R299">
            <v>1</v>
          </cell>
          <cell r="T299">
            <v>2</v>
          </cell>
          <cell r="U299">
            <v>4</v>
          </cell>
          <cell r="V299">
            <v>112</v>
          </cell>
          <cell r="W299">
            <v>88</v>
          </cell>
          <cell r="X299">
            <v>58</v>
          </cell>
          <cell r="Y299">
            <v>217</v>
          </cell>
          <cell r="Z299">
            <v>55</v>
          </cell>
          <cell r="AA299">
            <v>41</v>
          </cell>
          <cell r="AB299">
            <v>137</v>
          </cell>
          <cell r="AC299">
            <v>30</v>
          </cell>
          <cell r="AD299">
            <v>4</v>
          </cell>
          <cell r="AE299">
            <v>32</v>
          </cell>
          <cell r="AF299">
            <v>8</v>
          </cell>
        </row>
        <row r="300">
          <cell r="A300">
            <v>44860</v>
          </cell>
          <cell r="B300">
            <v>29</v>
          </cell>
          <cell r="C300">
            <v>17</v>
          </cell>
          <cell r="D300">
            <v>7</v>
          </cell>
          <cell r="E300">
            <v>9</v>
          </cell>
          <cell r="F300">
            <v>35</v>
          </cell>
          <cell r="G300">
            <v>12</v>
          </cell>
          <cell r="H300">
            <v>92</v>
          </cell>
          <cell r="I300">
            <v>98</v>
          </cell>
          <cell r="J300">
            <v>8</v>
          </cell>
          <cell r="L300">
            <v>24</v>
          </cell>
          <cell r="N300">
            <v>25</v>
          </cell>
          <cell r="O300">
            <v>10</v>
          </cell>
          <cell r="P300">
            <v>70</v>
          </cell>
          <cell r="Q300">
            <v>7</v>
          </cell>
          <cell r="R300">
            <v>2</v>
          </cell>
          <cell r="U300">
            <v>4</v>
          </cell>
          <cell r="V300">
            <v>122</v>
          </cell>
          <cell r="W300">
            <v>124</v>
          </cell>
          <cell r="X300">
            <v>77</v>
          </cell>
          <cell r="Y300">
            <v>44</v>
          </cell>
          <cell r="Z300">
            <v>46</v>
          </cell>
          <cell r="AA300">
            <v>34</v>
          </cell>
          <cell r="AB300">
            <v>125</v>
          </cell>
          <cell r="AC300">
            <v>10</v>
          </cell>
          <cell r="AD300">
            <v>3</v>
          </cell>
          <cell r="AE300">
            <v>53</v>
          </cell>
          <cell r="AF300">
            <v>8</v>
          </cell>
        </row>
        <row r="301">
          <cell r="A301">
            <v>44861</v>
          </cell>
          <cell r="B301">
            <v>34</v>
          </cell>
          <cell r="C301">
            <v>7</v>
          </cell>
          <cell r="D301">
            <v>7</v>
          </cell>
          <cell r="E301">
            <v>11</v>
          </cell>
          <cell r="F301">
            <v>29</v>
          </cell>
          <cell r="G301">
            <v>9</v>
          </cell>
          <cell r="H301">
            <v>174</v>
          </cell>
          <cell r="I301">
            <v>115</v>
          </cell>
          <cell r="J301">
            <v>7</v>
          </cell>
          <cell r="L301">
            <v>14</v>
          </cell>
          <cell r="N301">
            <v>20</v>
          </cell>
          <cell r="O301">
            <v>35</v>
          </cell>
          <cell r="P301">
            <v>75</v>
          </cell>
          <cell r="Q301">
            <v>21</v>
          </cell>
          <cell r="R301">
            <v>1</v>
          </cell>
          <cell r="T301">
            <v>3</v>
          </cell>
          <cell r="U301">
            <v>3</v>
          </cell>
          <cell r="V301">
            <v>146</v>
          </cell>
          <cell r="W301">
            <v>108</v>
          </cell>
          <cell r="X301">
            <v>93</v>
          </cell>
          <cell r="Y301">
            <v>107</v>
          </cell>
          <cell r="Z301">
            <v>43</v>
          </cell>
          <cell r="AA301">
            <v>40</v>
          </cell>
          <cell r="AB301">
            <v>122</v>
          </cell>
          <cell r="AC301">
            <v>30</v>
          </cell>
          <cell r="AD301">
            <v>4</v>
          </cell>
          <cell r="AE301">
            <v>57</v>
          </cell>
          <cell r="AF301">
            <v>6</v>
          </cell>
        </row>
        <row r="302">
          <cell r="A302">
            <v>44862</v>
          </cell>
          <cell r="B302">
            <v>32</v>
          </cell>
          <cell r="C302">
            <v>20</v>
          </cell>
          <cell r="D302">
            <v>20</v>
          </cell>
          <cell r="E302">
            <v>9</v>
          </cell>
          <cell r="F302">
            <v>38</v>
          </cell>
          <cell r="G302">
            <v>11</v>
          </cell>
          <cell r="H302">
            <v>98</v>
          </cell>
          <cell r="I302">
            <v>199</v>
          </cell>
          <cell r="J302">
            <v>6</v>
          </cell>
          <cell r="K302">
            <v>1</v>
          </cell>
          <cell r="L302">
            <v>38</v>
          </cell>
          <cell r="N302">
            <v>27</v>
          </cell>
          <cell r="O302">
            <v>57</v>
          </cell>
          <cell r="P302">
            <v>70</v>
          </cell>
          <cell r="Q302">
            <v>38</v>
          </cell>
          <cell r="R302">
            <v>2</v>
          </cell>
          <cell r="T302">
            <v>5</v>
          </cell>
          <cell r="U302">
            <v>2</v>
          </cell>
          <cell r="V302">
            <v>131</v>
          </cell>
          <cell r="W302">
            <v>86</v>
          </cell>
          <cell r="X302">
            <v>94</v>
          </cell>
          <cell r="Y302">
            <v>104</v>
          </cell>
          <cell r="Z302">
            <v>59</v>
          </cell>
          <cell r="AA302">
            <v>40</v>
          </cell>
          <cell r="AB302">
            <v>155</v>
          </cell>
          <cell r="AC302">
            <v>33</v>
          </cell>
          <cell r="AD302">
            <v>2</v>
          </cell>
          <cell r="AE302">
            <v>70</v>
          </cell>
          <cell r="AF302">
            <v>3</v>
          </cell>
        </row>
        <row r="303">
          <cell r="A303">
            <v>44863</v>
          </cell>
          <cell r="B303">
            <v>33</v>
          </cell>
          <cell r="C303">
            <v>14</v>
          </cell>
          <cell r="D303">
            <v>24</v>
          </cell>
          <cell r="E303">
            <v>9</v>
          </cell>
          <cell r="F303">
            <v>21</v>
          </cell>
          <cell r="G303">
            <v>6</v>
          </cell>
          <cell r="H303">
            <v>186</v>
          </cell>
          <cell r="I303">
            <v>278</v>
          </cell>
          <cell r="J303">
            <v>3</v>
          </cell>
          <cell r="L303">
            <v>48</v>
          </cell>
          <cell r="N303">
            <v>33</v>
          </cell>
          <cell r="O303">
            <v>147</v>
          </cell>
          <cell r="P303">
            <v>61</v>
          </cell>
          <cell r="Q303">
            <v>34</v>
          </cell>
          <cell r="R303">
            <v>1</v>
          </cell>
          <cell r="T303">
            <v>7</v>
          </cell>
          <cell r="U303">
            <v>6</v>
          </cell>
          <cell r="V303">
            <v>121</v>
          </cell>
          <cell r="W303">
            <v>93</v>
          </cell>
          <cell r="X303">
            <v>87</v>
          </cell>
          <cell r="Y303">
            <v>106</v>
          </cell>
          <cell r="Z303">
            <v>55</v>
          </cell>
          <cell r="AA303">
            <v>66</v>
          </cell>
          <cell r="AB303">
            <v>277</v>
          </cell>
          <cell r="AC303">
            <v>56</v>
          </cell>
          <cell r="AD303">
            <v>3</v>
          </cell>
          <cell r="AE303">
            <v>96</v>
          </cell>
          <cell r="AF303">
            <v>2</v>
          </cell>
        </row>
        <row r="304">
          <cell r="A304">
            <v>44864</v>
          </cell>
          <cell r="B304">
            <v>32</v>
          </cell>
          <cell r="C304">
            <v>22</v>
          </cell>
          <cell r="D304">
            <v>33</v>
          </cell>
          <cell r="E304">
            <v>10</v>
          </cell>
          <cell r="F304">
            <v>29</v>
          </cell>
          <cell r="G304">
            <v>6</v>
          </cell>
          <cell r="H304">
            <v>176</v>
          </cell>
          <cell r="I304">
            <v>757</v>
          </cell>
          <cell r="J304">
            <v>3</v>
          </cell>
          <cell r="L304">
            <v>33</v>
          </cell>
          <cell r="N304">
            <v>42</v>
          </cell>
          <cell r="O304">
            <v>185</v>
          </cell>
          <cell r="P304">
            <v>66</v>
          </cell>
          <cell r="Q304">
            <v>61</v>
          </cell>
          <cell r="R304">
            <v>1</v>
          </cell>
          <cell r="S304">
            <v>1</v>
          </cell>
          <cell r="T304">
            <v>7</v>
          </cell>
          <cell r="U304">
            <v>6</v>
          </cell>
          <cell r="V304">
            <v>131</v>
          </cell>
          <cell r="W304">
            <v>89</v>
          </cell>
          <cell r="X304">
            <v>105</v>
          </cell>
          <cell r="Y304">
            <v>184</v>
          </cell>
          <cell r="Z304">
            <v>60</v>
          </cell>
          <cell r="AA304">
            <v>86</v>
          </cell>
          <cell r="AB304">
            <v>388</v>
          </cell>
          <cell r="AC304">
            <v>73</v>
          </cell>
          <cell r="AD304">
            <v>3</v>
          </cell>
          <cell r="AE304">
            <v>82</v>
          </cell>
          <cell r="AF304">
            <v>4</v>
          </cell>
        </row>
        <row r="305">
          <cell r="A305">
            <v>44865</v>
          </cell>
          <cell r="B305">
            <v>23</v>
          </cell>
          <cell r="C305">
            <v>22</v>
          </cell>
          <cell r="D305">
            <v>26</v>
          </cell>
          <cell r="E305">
            <v>4</v>
          </cell>
          <cell r="F305">
            <v>10</v>
          </cell>
          <cell r="G305">
            <v>5</v>
          </cell>
          <cell r="H305">
            <v>137</v>
          </cell>
          <cell r="I305">
            <v>697</v>
          </cell>
          <cell r="J305">
            <v>7</v>
          </cell>
          <cell r="K305">
            <v>3</v>
          </cell>
          <cell r="L305">
            <v>31</v>
          </cell>
          <cell r="N305">
            <v>104</v>
          </cell>
          <cell r="O305">
            <v>189</v>
          </cell>
          <cell r="P305">
            <v>61</v>
          </cell>
          <cell r="Q305">
            <v>60</v>
          </cell>
          <cell r="R305">
            <v>1</v>
          </cell>
          <cell r="T305">
            <v>17</v>
          </cell>
          <cell r="U305">
            <v>5</v>
          </cell>
          <cell r="V305">
            <v>165</v>
          </cell>
          <cell r="W305">
            <v>128</v>
          </cell>
          <cell r="X305">
            <v>103</v>
          </cell>
          <cell r="Y305">
            <v>139</v>
          </cell>
          <cell r="Z305">
            <v>51</v>
          </cell>
          <cell r="AA305">
            <v>48</v>
          </cell>
          <cell r="AB305">
            <v>403</v>
          </cell>
          <cell r="AC305">
            <v>101</v>
          </cell>
          <cell r="AE305">
            <v>76</v>
          </cell>
          <cell r="AF305">
            <v>10</v>
          </cell>
        </row>
        <row r="306">
          <cell r="A306">
            <v>44866</v>
          </cell>
          <cell r="B306">
            <v>19</v>
          </cell>
          <cell r="C306">
            <v>28</v>
          </cell>
          <cell r="D306">
            <v>17</v>
          </cell>
          <cell r="E306">
            <v>1</v>
          </cell>
          <cell r="F306">
            <v>9</v>
          </cell>
          <cell r="G306">
            <v>5</v>
          </cell>
          <cell r="H306">
            <v>92</v>
          </cell>
          <cell r="I306">
            <v>404</v>
          </cell>
          <cell r="J306">
            <v>5</v>
          </cell>
          <cell r="L306">
            <v>58</v>
          </cell>
          <cell r="N306">
            <v>359</v>
          </cell>
          <cell r="O306">
            <v>197</v>
          </cell>
          <cell r="P306">
            <v>145</v>
          </cell>
          <cell r="Q306">
            <v>68</v>
          </cell>
          <cell r="S306">
            <v>1</v>
          </cell>
          <cell r="T306">
            <v>27</v>
          </cell>
          <cell r="U306">
            <v>2</v>
          </cell>
          <cell r="V306">
            <v>320</v>
          </cell>
          <cell r="W306">
            <v>91</v>
          </cell>
          <cell r="X306">
            <v>97</v>
          </cell>
          <cell r="Y306">
            <v>136</v>
          </cell>
          <cell r="Z306">
            <v>35</v>
          </cell>
          <cell r="AA306">
            <v>36</v>
          </cell>
          <cell r="AB306">
            <v>430</v>
          </cell>
          <cell r="AC306">
            <v>30</v>
          </cell>
          <cell r="AD306">
            <v>4</v>
          </cell>
          <cell r="AE306">
            <v>65</v>
          </cell>
          <cell r="AF306">
            <v>5</v>
          </cell>
        </row>
        <row r="307">
          <cell r="A307">
            <v>44867</v>
          </cell>
          <cell r="B307">
            <v>22</v>
          </cell>
          <cell r="C307">
            <v>26</v>
          </cell>
          <cell r="D307">
            <v>11</v>
          </cell>
          <cell r="E307">
            <v>3</v>
          </cell>
          <cell r="F307">
            <v>15</v>
          </cell>
          <cell r="G307">
            <v>6</v>
          </cell>
          <cell r="H307">
            <v>99</v>
          </cell>
          <cell r="I307">
            <v>425</v>
          </cell>
          <cell r="J307">
            <v>1</v>
          </cell>
          <cell r="K307">
            <v>1</v>
          </cell>
          <cell r="L307">
            <v>59</v>
          </cell>
          <cell r="N307">
            <v>176</v>
          </cell>
          <cell r="O307">
            <v>197</v>
          </cell>
          <cell r="P307">
            <v>130</v>
          </cell>
          <cell r="Q307">
            <v>46</v>
          </cell>
          <cell r="S307">
            <v>11</v>
          </cell>
          <cell r="T307">
            <v>23</v>
          </cell>
          <cell r="U307">
            <v>8</v>
          </cell>
          <cell r="V307">
            <v>932</v>
          </cell>
          <cell r="W307">
            <v>111</v>
          </cell>
          <cell r="X307">
            <v>101</v>
          </cell>
          <cell r="Y307">
            <v>82</v>
          </cell>
          <cell r="Z307">
            <v>48</v>
          </cell>
          <cell r="AA307">
            <v>43</v>
          </cell>
          <cell r="AB307">
            <v>401</v>
          </cell>
          <cell r="AC307">
            <v>54</v>
          </cell>
          <cell r="AE307">
            <v>77</v>
          </cell>
          <cell r="AF307">
            <v>5</v>
          </cell>
        </row>
        <row r="308">
          <cell r="A308">
            <v>44868</v>
          </cell>
          <cell r="B308">
            <v>14</v>
          </cell>
          <cell r="C308">
            <v>37</v>
          </cell>
          <cell r="D308">
            <v>6</v>
          </cell>
          <cell r="E308">
            <v>7</v>
          </cell>
          <cell r="F308">
            <v>77</v>
          </cell>
          <cell r="G308">
            <v>6</v>
          </cell>
          <cell r="H308">
            <v>71</v>
          </cell>
          <cell r="I308">
            <v>657</v>
          </cell>
          <cell r="J308">
            <v>3</v>
          </cell>
          <cell r="K308">
            <v>3</v>
          </cell>
          <cell r="L308">
            <v>73</v>
          </cell>
          <cell r="N308">
            <v>187</v>
          </cell>
          <cell r="O308">
            <v>341</v>
          </cell>
          <cell r="P308">
            <v>402</v>
          </cell>
          <cell r="Q308">
            <v>55</v>
          </cell>
          <cell r="S308">
            <v>8</v>
          </cell>
          <cell r="T308">
            <v>25</v>
          </cell>
          <cell r="U308">
            <v>5</v>
          </cell>
          <cell r="V308">
            <v>763</v>
          </cell>
          <cell r="W308">
            <v>116</v>
          </cell>
          <cell r="X308">
            <v>109</v>
          </cell>
          <cell r="Y308">
            <v>202</v>
          </cell>
          <cell r="Z308">
            <v>29</v>
          </cell>
          <cell r="AA308">
            <v>48</v>
          </cell>
          <cell r="AB308">
            <v>433</v>
          </cell>
          <cell r="AC308">
            <v>38</v>
          </cell>
          <cell r="AD308">
            <v>5</v>
          </cell>
          <cell r="AE308">
            <v>75</v>
          </cell>
          <cell r="AF308">
            <v>5</v>
          </cell>
        </row>
        <row r="309">
          <cell r="A309">
            <v>44869</v>
          </cell>
          <cell r="B309">
            <v>14</v>
          </cell>
          <cell r="C309">
            <v>39</v>
          </cell>
          <cell r="D309">
            <v>9</v>
          </cell>
          <cell r="E309">
            <v>5</v>
          </cell>
          <cell r="F309">
            <v>78</v>
          </cell>
          <cell r="H309">
            <v>60</v>
          </cell>
          <cell r="I309">
            <v>829</v>
          </cell>
          <cell r="K309">
            <v>2</v>
          </cell>
          <cell r="L309">
            <v>65</v>
          </cell>
          <cell r="N309">
            <v>140</v>
          </cell>
          <cell r="O309">
            <v>216</v>
          </cell>
          <cell r="P309">
            <v>372</v>
          </cell>
          <cell r="Q309">
            <v>28</v>
          </cell>
          <cell r="S309">
            <v>6</v>
          </cell>
          <cell r="T309">
            <v>23</v>
          </cell>
          <cell r="U309">
            <v>3</v>
          </cell>
          <cell r="V309">
            <v>558</v>
          </cell>
          <cell r="W309">
            <v>118</v>
          </cell>
          <cell r="X309">
            <v>80</v>
          </cell>
          <cell r="Y309">
            <v>215</v>
          </cell>
          <cell r="Z309">
            <v>25</v>
          </cell>
          <cell r="AA309">
            <v>31</v>
          </cell>
          <cell r="AB309">
            <v>471</v>
          </cell>
          <cell r="AC309">
            <v>67</v>
          </cell>
          <cell r="AD309">
            <v>6</v>
          </cell>
          <cell r="AE309">
            <v>61</v>
          </cell>
          <cell r="AF309">
            <v>5</v>
          </cell>
        </row>
        <row r="310">
          <cell r="A310">
            <v>44870</v>
          </cell>
          <cell r="B310">
            <v>12</v>
          </cell>
          <cell r="C310">
            <v>47</v>
          </cell>
          <cell r="D310">
            <v>11</v>
          </cell>
          <cell r="E310">
            <v>5</v>
          </cell>
          <cell r="F310">
            <v>99</v>
          </cell>
          <cell r="G310">
            <v>2</v>
          </cell>
          <cell r="H310">
            <v>40</v>
          </cell>
          <cell r="I310">
            <v>1463</v>
          </cell>
          <cell r="K310">
            <v>3</v>
          </cell>
          <cell r="L310">
            <v>60</v>
          </cell>
          <cell r="N310">
            <v>190</v>
          </cell>
          <cell r="O310">
            <v>301</v>
          </cell>
          <cell r="P310">
            <v>264</v>
          </cell>
          <cell r="Q310">
            <v>30</v>
          </cell>
          <cell r="R310">
            <v>2</v>
          </cell>
          <cell r="S310">
            <v>6</v>
          </cell>
          <cell r="T310">
            <v>20</v>
          </cell>
          <cell r="U310">
            <v>9</v>
          </cell>
          <cell r="V310">
            <v>692</v>
          </cell>
          <cell r="W310">
            <v>105</v>
          </cell>
          <cell r="X310">
            <v>84</v>
          </cell>
          <cell r="Y310">
            <v>125</v>
          </cell>
          <cell r="Z310">
            <v>19</v>
          </cell>
          <cell r="AA310">
            <v>30</v>
          </cell>
          <cell r="AB310">
            <v>539</v>
          </cell>
          <cell r="AC310">
            <v>49</v>
          </cell>
          <cell r="AD310">
            <v>2</v>
          </cell>
          <cell r="AE310">
            <v>67</v>
          </cell>
          <cell r="AF310">
            <v>3</v>
          </cell>
        </row>
        <row r="311">
          <cell r="A311">
            <v>44871</v>
          </cell>
          <cell r="B311">
            <v>9</v>
          </cell>
          <cell r="C311">
            <v>55</v>
          </cell>
          <cell r="D311">
            <v>13</v>
          </cell>
          <cell r="E311">
            <v>2</v>
          </cell>
          <cell r="F311">
            <v>126</v>
          </cell>
          <cell r="G311">
            <v>6</v>
          </cell>
          <cell r="H311">
            <v>38</v>
          </cell>
          <cell r="I311">
            <v>2067</v>
          </cell>
          <cell r="J311">
            <v>3</v>
          </cell>
          <cell r="L311">
            <v>53</v>
          </cell>
          <cell r="N311">
            <v>306</v>
          </cell>
          <cell r="O311">
            <v>288</v>
          </cell>
          <cell r="P311">
            <v>267</v>
          </cell>
          <cell r="Q311">
            <v>33</v>
          </cell>
          <cell r="R311">
            <v>4</v>
          </cell>
          <cell r="S311">
            <v>10</v>
          </cell>
          <cell r="T311">
            <v>13</v>
          </cell>
          <cell r="U311">
            <v>4</v>
          </cell>
          <cell r="V311">
            <v>1033</v>
          </cell>
          <cell r="W311">
            <v>116</v>
          </cell>
          <cell r="X311">
            <v>79</v>
          </cell>
          <cell r="Y311">
            <v>74</v>
          </cell>
          <cell r="Z311">
            <v>21</v>
          </cell>
          <cell r="AA311">
            <v>88</v>
          </cell>
          <cell r="AB311">
            <v>615</v>
          </cell>
          <cell r="AC311">
            <v>39</v>
          </cell>
          <cell r="AD311">
            <v>5</v>
          </cell>
          <cell r="AE311">
            <v>62</v>
          </cell>
          <cell r="AF311">
            <v>7</v>
          </cell>
        </row>
        <row r="312">
          <cell r="A312">
            <v>44872</v>
          </cell>
          <cell r="B312">
            <v>9</v>
          </cell>
          <cell r="C312">
            <v>61</v>
          </cell>
          <cell r="D312">
            <v>30</v>
          </cell>
          <cell r="E312">
            <v>3</v>
          </cell>
          <cell r="F312">
            <v>278</v>
          </cell>
          <cell r="G312">
            <v>4</v>
          </cell>
          <cell r="H312">
            <v>33</v>
          </cell>
          <cell r="I312">
            <v>2528</v>
          </cell>
          <cell r="J312">
            <v>1</v>
          </cell>
          <cell r="K312">
            <v>11</v>
          </cell>
          <cell r="L312">
            <v>74</v>
          </cell>
          <cell r="M312">
            <v>2</v>
          </cell>
          <cell r="N312">
            <v>747</v>
          </cell>
          <cell r="O312">
            <v>282</v>
          </cell>
          <cell r="P312">
            <v>198</v>
          </cell>
          <cell r="Q312">
            <v>47</v>
          </cell>
          <cell r="R312">
            <v>5</v>
          </cell>
          <cell r="S312">
            <v>6</v>
          </cell>
          <cell r="T312">
            <v>14</v>
          </cell>
          <cell r="U312">
            <v>4</v>
          </cell>
          <cell r="V312">
            <v>1794</v>
          </cell>
          <cell r="W312">
            <v>111</v>
          </cell>
          <cell r="X312">
            <v>63</v>
          </cell>
          <cell r="Y312">
            <v>130</v>
          </cell>
          <cell r="Z312">
            <v>30</v>
          </cell>
          <cell r="AA312">
            <v>93</v>
          </cell>
          <cell r="AB312">
            <v>655</v>
          </cell>
          <cell r="AC312">
            <v>41</v>
          </cell>
          <cell r="AD312">
            <v>4</v>
          </cell>
          <cell r="AE312">
            <v>60</v>
          </cell>
          <cell r="AF312">
            <v>5</v>
          </cell>
        </row>
        <row r="313">
          <cell r="A313">
            <v>44873</v>
          </cell>
          <cell r="B313">
            <v>9</v>
          </cell>
          <cell r="C313">
            <v>78</v>
          </cell>
          <cell r="D313">
            <v>27</v>
          </cell>
          <cell r="E313">
            <v>4</v>
          </cell>
          <cell r="F313">
            <v>488</v>
          </cell>
          <cell r="G313">
            <v>10</v>
          </cell>
          <cell r="H313">
            <v>45</v>
          </cell>
          <cell r="I313">
            <v>2808</v>
          </cell>
          <cell r="J313">
            <v>7</v>
          </cell>
          <cell r="K313">
            <v>11</v>
          </cell>
          <cell r="L313">
            <v>137</v>
          </cell>
          <cell r="M313">
            <v>2</v>
          </cell>
          <cell r="N313">
            <v>1047</v>
          </cell>
          <cell r="O313">
            <v>405</v>
          </cell>
          <cell r="P313">
            <v>158</v>
          </cell>
          <cell r="Q313">
            <v>67</v>
          </cell>
          <cell r="R313">
            <v>9</v>
          </cell>
          <cell r="S313">
            <v>2</v>
          </cell>
          <cell r="T313">
            <v>18</v>
          </cell>
          <cell r="U313">
            <v>6</v>
          </cell>
          <cell r="V313">
            <v>1073</v>
          </cell>
          <cell r="W313">
            <v>98</v>
          </cell>
          <cell r="X313">
            <v>70</v>
          </cell>
          <cell r="Y313">
            <v>178</v>
          </cell>
          <cell r="Z313">
            <v>25</v>
          </cell>
          <cell r="AA313">
            <v>88</v>
          </cell>
          <cell r="AB313">
            <v>698</v>
          </cell>
          <cell r="AC313">
            <v>52</v>
          </cell>
          <cell r="AD313">
            <v>7</v>
          </cell>
          <cell r="AE313">
            <v>105</v>
          </cell>
          <cell r="AF313">
            <v>8</v>
          </cell>
        </row>
        <row r="314">
          <cell r="A314">
            <v>44874</v>
          </cell>
          <cell r="B314">
            <v>10</v>
          </cell>
          <cell r="C314">
            <v>95</v>
          </cell>
          <cell r="D314">
            <v>39</v>
          </cell>
          <cell r="E314">
            <v>4</v>
          </cell>
          <cell r="F314">
            <v>753</v>
          </cell>
          <cell r="G314">
            <v>43</v>
          </cell>
          <cell r="H314">
            <v>44</v>
          </cell>
          <cell r="I314">
            <v>2707</v>
          </cell>
          <cell r="J314">
            <v>6</v>
          </cell>
          <cell r="K314">
            <v>8</v>
          </cell>
          <cell r="L314">
            <v>241</v>
          </cell>
          <cell r="N314">
            <v>1241</v>
          </cell>
          <cell r="O314">
            <v>334</v>
          </cell>
          <cell r="P314">
            <v>105</v>
          </cell>
          <cell r="Q314">
            <v>91</v>
          </cell>
          <cell r="R314">
            <v>12</v>
          </cell>
          <cell r="S314">
            <v>6</v>
          </cell>
          <cell r="T314">
            <v>20</v>
          </cell>
          <cell r="U314">
            <v>9</v>
          </cell>
          <cell r="V314">
            <v>1125</v>
          </cell>
          <cell r="W314">
            <v>277</v>
          </cell>
          <cell r="X314">
            <v>59</v>
          </cell>
          <cell r="Y314">
            <v>187</v>
          </cell>
          <cell r="Z314">
            <v>48</v>
          </cell>
          <cell r="AA314">
            <v>109</v>
          </cell>
          <cell r="AB314">
            <v>689</v>
          </cell>
          <cell r="AC314">
            <v>104</v>
          </cell>
          <cell r="AD314">
            <v>4</v>
          </cell>
          <cell r="AE314">
            <v>113</v>
          </cell>
          <cell r="AF314">
            <v>11</v>
          </cell>
        </row>
        <row r="315">
          <cell r="A315">
            <v>44875</v>
          </cell>
          <cell r="B315">
            <v>14</v>
          </cell>
          <cell r="C315">
            <v>114</v>
          </cell>
          <cell r="D315">
            <v>37</v>
          </cell>
          <cell r="E315">
            <v>4</v>
          </cell>
          <cell r="F315">
            <v>782</v>
          </cell>
          <cell r="G315">
            <v>37</v>
          </cell>
          <cell r="H315">
            <v>28</v>
          </cell>
          <cell r="I315">
            <v>2750</v>
          </cell>
          <cell r="J315">
            <v>12</v>
          </cell>
          <cell r="K315">
            <v>8</v>
          </cell>
          <cell r="L315">
            <v>224</v>
          </cell>
          <cell r="M315">
            <v>2</v>
          </cell>
          <cell r="N315">
            <v>3005</v>
          </cell>
          <cell r="O315">
            <v>259</v>
          </cell>
          <cell r="P315">
            <v>77</v>
          </cell>
          <cell r="Q315">
            <v>96</v>
          </cell>
          <cell r="R315">
            <v>10</v>
          </cell>
          <cell r="S315">
            <v>5</v>
          </cell>
          <cell r="T315">
            <v>19</v>
          </cell>
          <cell r="U315">
            <v>7</v>
          </cell>
          <cell r="V315">
            <v>1210</v>
          </cell>
          <cell r="W315">
            <v>163</v>
          </cell>
          <cell r="X315">
            <v>109</v>
          </cell>
          <cell r="Y315">
            <v>232</v>
          </cell>
          <cell r="Z315">
            <v>21</v>
          </cell>
          <cell r="AA315">
            <v>104</v>
          </cell>
          <cell r="AB315">
            <v>668</v>
          </cell>
          <cell r="AC315">
            <v>119</v>
          </cell>
          <cell r="AD315">
            <v>14</v>
          </cell>
          <cell r="AE315">
            <v>100</v>
          </cell>
          <cell r="AF315">
            <v>13</v>
          </cell>
        </row>
        <row r="316">
          <cell r="A316">
            <v>44876</v>
          </cell>
          <cell r="B316">
            <v>23</v>
          </cell>
          <cell r="C316">
            <v>114</v>
          </cell>
          <cell r="D316">
            <v>57</v>
          </cell>
          <cell r="E316">
            <v>9</v>
          </cell>
          <cell r="F316">
            <v>1240</v>
          </cell>
          <cell r="G316">
            <v>131</v>
          </cell>
          <cell r="H316">
            <v>28</v>
          </cell>
          <cell r="I316">
            <v>3319</v>
          </cell>
          <cell r="J316">
            <v>14</v>
          </cell>
          <cell r="K316">
            <v>14</v>
          </cell>
          <cell r="L316">
            <v>368</v>
          </cell>
          <cell r="M316">
            <v>1</v>
          </cell>
          <cell r="N316">
            <v>2163</v>
          </cell>
          <cell r="O316">
            <v>253</v>
          </cell>
          <cell r="P316">
            <v>58</v>
          </cell>
          <cell r="Q316">
            <v>327</v>
          </cell>
          <cell r="R316">
            <v>11</v>
          </cell>
          <cell r="S316">
            <v>3</v>
          </cell>
          <cell r="T316">
            <v>29</v>
          </cell>
          <cell r="U316">
            <v>9</v>
          </cell>
          <cell r="V316">
            <v>1277</v>
          </cell>
          <cell r="W316">
            <v>360</v>
          </cell>
          <cell r="X316">
            <v>147</v>
          </cell>
          <cell r="Y316">
            <v>245</v>
          </cell>
          <cell r="Z316">
            <v>26</v>
          </cell>
          <cell r="AA316">
            <v>142</v>
          </cell>
          <cell r="AB316">
            <v>718</v>
          </cell>
          <cell r="AC316">
            <v>80</v>
          </cell>
          <cell r="AD316">
            <v>47</v>
          </cell>
          <cell r="AE316">
            <v>100</v>
          </cell>
          <cell r="AF316">
            <v>10</v>
          </cell>
        </row>
        <row r="317">
          <cell r="A317">
            <v>44877</v>
          </cell>
          <cell r="B317">
            <v>40</v>
          </cell>
          <cell r="C317">
            <v>230</v>
          </cell>
          <cell r="D317">
            <v>60</v>
          </cell>
          <cell r="E317">
            <v>10</v>
          </cell>
          <cell r="F317">
            <v>1817</v>
          </cell>
          <cell r="G317">
            <v>102</v>
          </cell>
          <cell r="H317">
            <v>25</v>
          </cell>
          <cell r="I317">
            <v>3788</v>
          </cell>
          <cell r="J317">
            <v>9</v>
          </cell>
          <cell r="K317">
            <v>13</v>
          </cell>
          <cell r="L317">
            <v>601</v>
          </cell>
          <cell r="M317">
            <v>1</v>
          </cell>
          <cell r="N317">
            <v>2664</v>
          </cell>
          <cell r="O317">
            <v>419</v>
          </cell>
          <cell r="P317">
            <v>178</v>
          </cell>
          <cell r="Q317">
            <v>589</v>
          </cell>
          <cell r="R317">
            <v>13</v>
          </cell>
          <cell r="S317">
            <v>2</v>
          </cell>
          <cell r="T317">
            <v>18</v>
          </cell>
          <cell r="U317">
            <v>6</v>
          </cell>
          <cell r="V317">
            <v>1432</v>
          </cell>
          <cell r="W317">
            <v>305</v>
          </cell>
          <cell r="X317">
            <v>189</v>
          </cell>
          <cell r="Y317">
            <v>271</v>
          </cell>
          <cell r="Z317">
            <v>56</v>
          </cell>
          <cell r="AA317">
            <v>176</v>
          </cell>
          <cell r="AB317">
            <v>790</v>
          </cell>
          <cell r="AC317">
            <v>287</v>
          </cell>
          <cell r="AD317">
            <v>31</v>
          </cell>
          <cell r="AE317">
            <v>82</v>
          </cell>
          <cell r="AF317">
            <v>24</v>
          </cell>
        </row>
        <row r="318">
          <cell r="A318">
            <v>44878</v>
          </cell>
          <cell r="B318">
            <v>75</v>
          </cell>
          <cell r="C318">
            <v>404</v>
          </cell>
          <cell r="D318">
            <v>81</v>
          </cell>
          <cell r="E318">
            <v>15</v>
          </cell>
          <cell r="F318">
            <v>2296</v>
          </cell>
          <cell r="G318">
            <v>81</v>
          </cell>
          <cell r="H318">
            <v>35</v>
          </cell>
          <cell r="I318">
            <v>4160</v>
          </cell>
          <cell r="J318">
            <v>17</v>
          </cell>
          <cell r="K318">
            <v>28</v>
          </cell>
          <cell r="L318">
            <v>517</v>
          </cell>
          <cell r="M318">
            <v>3</v>
          </cell>
          <cell r="N318">
            <v>3014</v>
          </cell>
          <cell r="O318">
            <v>367</v>
          </cell>
          <cell r="P318">
            <v>304</v>
          </cell>
          <cell r="Q318">
            <v>689</v>
          </cell>
          <cell r="R318">
            <v>12</v>
          </cell>
          <cell r="S318">
            <v>1</v>
          </cell>
          <cell r="T318">
            <v>18</v>
          </cell>
          <cell r="U318">
            <v>14</v>
          </cell>
          <cell r="V318">
            <v>1266</v>
          </cell>
          <cell r="W318">
            <v>348</v>
          </cell>
          <cell r="X318">
            <v>163</v>
          </cell>
          <cell r="Y318">
            <v>214</v>
          </cell>
          <cell r="Z318">
            <v>60</v>
          </cell>
          <cell r="AA318">
            <v>296</v>
          </cell>
          <cell r="AB318">
            <v>742</v>
          </cell>
          <cell r="AC318">
            <v>146</v>
          </cell>
          <cell r="AD318">
            <v>66</v>
          </cell>
          <cell r="AE318">
            <v>76</v>
          </cell>
          <cell r="AF318">
            <v>17</v>
          </cell>
        </row>
        <row r="319">
          <cell r="A319">
            <v>44879</v>
          </cell>
          <cell r="B319">
            <v>73</v>
          </cell>
          <cell r="C319">
            <v>461</v>
          </cell>
          <cell r="D319">
            <v>76</v>
          </cell>
          <cell r="E319">
            <v>16</v>
          </cell>
          <cell r="F319">
            <v>2948</v>
          </cell>
          <cell r="G319">
            <v>90</v>
          </cell>
          <cell r="H319">
            <v>21</v>
          </cell>
          <cell r="I319">
            <v>5220</v>
          </cell>
          <cell r="J319">
            <v>23</v>
          </cell>
          <cell r="K319">
            <v>49</v>
          </cell>
          <cell r="L319">
            <v>819</v>
          </cell>
          <cell r="M319">
            <v>2</v>
          </cell>
          <cell r="N319">
            <v>2287</v>
          </cell>
          <cell r="O319">
            <v>375</v>
          </cell>
          <cell r="P319">
            <v>221</v>
          </cell>
          <cell r="Q319">
            <v>535</v>
          </cell>
          <cell r="R319">
            <v>19</v>
          </cell>
          <cell r="T319">
            <v>20</v>
          </cell>
          <cell r="U319">
            <v>6</v>
          </cell>
          <cell r="V319">
            <v>1330</v>
          </cell>
          <cell r="W319">
            <v>525</v>
          </cell>
          <cell r="X319">
            <v>179</v>
          </cell>
          <cell r="Y319">
            <v>256</v>
          </cell>
          <cell r="Z319">
            <v>222</v>
          </cell>
          <cell r="AA319">
            <v>309</v>
          </cell>
          <cell r="AB319">
            <v>799</v>
          </cell>
          <cell r="AC319">
            <v>269</v>
          </cell>
          <cell r="AD319">
            <v>48</v>
          </cell>
          <cell r="AE319">
            <v>79</v>
          </cell>
          <cell r="AF319">
            <v>21</v>
          </cell>
        </row>
        <row r="320">
          <cell r="A320">
            <v>44880</v>
          </cell>
          <cell r="B320">
            <v>149</v>
          </cell>
          <cell r="C320">
            <v>361</v>
          </cell>
          <cell r="D320">
            <v>80</v>
          </cell>
          <cell r="E320">
            <v>16</v>
          </cell>
          <cell r="F320">
            <v>2798</v>
          </cell>
          <cell r="G320">
            <v>84</v>
          </cell>
          <cell r="H320">
            <v>32</v>
          </cell>
          <cell r="I320">
            <v>6410</v>
          </cell>
          <cell r="J320">
            <v>35</v>
          </cell>
          <cell r="K320">
            <v>36</v>
          </cell>
          <cell r="L320">
            <v>2688</v>
          </cell>
          <cell r="M320">
            <v>10</v>
          </cell>
          <cell r="N320">
            <v>1874</v>
          </cell>
          <cell r="O320">
            <v>323</v>
          </cell>
          <cell r="P320">
            <v>189</v>
          </cell>
          <cell r="Q320">
            <v>409</v>
          </cell>
          <cell r="R320">
            <v>20</v>
          </cell>
          <cell r="S320">
            <v>23</v>
          </cell>
          <cell r="T320">
            <v>28</v>
          </cell>
          <cell r="U320">
            <v>15</v>
          </cell>
          <cell r="V320">
            <v>1272</v>
          </cell>
          <cell r="W320">
            <v>533</v>
          </cell>
          <cell r="X320">
            <v>169</v>
          </cell>
          <cell r="Y320">
            <v>322</v>
          </cell>
          <cell r="Z320">
            <v>238</v>
          </cell>
          <cell r="AA320">
            <v>303</v>
          </cell>
          <cell r="AB320">
            <v>845</v>
          </cell>
          <cell r="AC320">
            <v>205</v>
          </cell>
          <cell r="AD320">
            <v>46</v>
          </cell>
          <cell r="AE320">
            <v>82</v>
          </cell>
          <cell r="AF320">
            <v>14</v>
          </cell>
        </row>
        <row r="321">
          <cell r="A321">
            <v>44881</v>
          </cell>
          <cell r="B321">
            <v>156</v>
          </cell>
          <cell r="C321">
            <v>423</v>
          </cell>
          <cell r="D321">
            <v>73</v>
          </cell>
          <cell r="E321">
            <v>13</v>
          </cell>
          <cell r="F321">
            <v>4041</v>
          </cell>
          <cell r="G321">
            <v>52</v>
          </cell>
          <cell r="H321">
            <v>20</v>
          </cell>
          <cell r="I321">
            <v>8883</v>
          </cell>
          <cell r="J321">
            <v>43</v>
          </cell>
          <cell r="K321">
            <v>54</v>
          </cell>
          <cell r="L321">
            <v>1545</v>
          </cell>
          <cell r="M321">
            <v>5</v>
          </cell>
          <cell r="N321">
            <v>1658</v>
          </cell>
          <cell r="O321">
            <v>246</v>
          </cell>
          <cell r="P321">
            <v>173</v>
          </cell>
          <cell r="Q321">
            <v>263</v>
          </cell>
          <cell r="R321">
            <v>19</v>
          </cell>
          <cell r="S321">
            <v>70</v>
          </cell>
          <cell r="T321">
            <v>18</v>
          </cell>
          <cell r="U321">
            <v>19</v>
          </cell>
          <cell r="V321">
            <v>1146</v>
          </cell>
          <cell r="W321">
            <v>482</v>
          </cell>
          <cell r="X321">
            <v>167</v>
          </cell>
          <cell r="Y321">
            <v>465</v>
          </cell>
          <cell r="Z321">
            <v>350</v>
          </cell>
          <cell r="AA321">
            <v>403</v>
          </cell>
          <cell r="AB321">
            <v>927</v>
          </cell>
          <cell r="AC321">
            <v>199</v>
          </cell>
          <cell r="AD321">
            <v>43</v>
          </cell>
          <cell r="AE321">
            <v>113</v>
          </cell>
          <cell r="AF321">
            <v>11</v>
          </cell>
        </row>
        <row r="322">
          <cell r="A322">
            <v>44882</v>
          </cell>
          <cell r="B322">
            <v>140</v>
          </cell>
          <cell r="C322">
            <v>458</v>
          </cell>
          <cell r="D322">
            <v>97</v>
          </cell>
          <cell r="E322">
            <v>29</v>
          </cell>
          <cell r="F322">
            <v>4631</v>
          </cell>
          <cell r="G322">
            <v>52</v>
          </cell>
          <cell r="H322">
            <v>22</v>
          </cell>
          <cell r="I322">
            <v>9431</v>
          </cell>
          <cell r="J322">
            <v>55</v>
          </cell>
          <cell r="K322">
            <v>37</v>
          </cell>
          <cell r="L322">
            <v>1568</v>
          </cell>
          <cell r="M322">
            <v>9</v>
          </cell>
          <cell r="N322">
            <v>1685</v>
          </cell>
          <cell r="O322">
            <v>319</v>
          </cell>
          <cell r="P322">
            <v>130</v>
          </cell>
          <cell r="Q322">
            <v>328</v>
          </cell>
          <cell r="R322">
            <v>15</v>
          </cell>
          <cell r="S322">
            <v>72</v>
          </cell>
          <cell r="T322">
            <v>24</v>
          </cell>
          <cell r="U322">
            <v>28</v>
          </cell>
          <cell r="V322">
            <v>1393</v>
          </cell>
          <cell r="W322">
            <v>573</v>
          </cell>
          <cell r="X322">
            <v>148</v>
          </cell>
          <cell r="Y322">
            <v>409</v>
          </cell>
          <cell r="Z322">
            <v>658</v>
          </cell>
          <cell r="AA322">
            <v>380</v>
          </cell>
          <cell r="AB322">
            <v>962</v>
          </cell>
          <cell r="AC322">
            <v>167</v>
          </cell>
          <cell r="AD322">
            <v>45</v>
          </cell>
          <cell r="AE322">
            <v>147</v>
          </cell>
          <cell r="AF322">
            <v>16</v>
          </cell>
        </row>
        <row r="323">
          <cell r="A323">
            <v>44883</v>
          </cell>
          <cell r="B323">
            <v>172</v>
          </cell>
          <cell r="C323">
            <v>504</v>
          </cell>
          <cell r="D323">
            <v>76</v>
          </cell>
          <cell r="E323">
            <v>28</v>
          </cell>
          <cell r="F323">
            <v>4713</v>
          </cell>
          <cell r="G323">
            <v>31</v>
          </cell>
          <cell r="H323">
            <v>22</v>
          </cell>
          <cell r="I323">
            <v>8890</v>
          </cell>
          <cell r="J323">
            <v>72</v>
          </cell>
          <cell r="K323">
            <v>48</v>
          </cell>
          <cell r="L323">
            <v>1142</v>
          </cell>
          <cell r="M323">
            <v>10</v>
          </cell>
          <cell r="N323">
            <v>1596</v>
          </cell>
          <cell r="O323">
            <v>288</v>
          </cell>
          <cell r="P323">
            <v>107</v>
          </cell>
          <cell r="Q323">
            <v>355</v>
          </cell>
          <cell r="R323">
            <v>21</v>
          </cell>
          <cell r="S323">
            <v>56</v>
          </cell>
          <cell r="T323">
            <v>55</v>
          </cell>
          <cell r="U323">
            <v>41</v>
          </cell>
          <cell r="V323">
            <v>1350</v>
          </cell>
          <cell r="W323">
            <v>541</v>
          </cell>
          <cell r="X323">
            <v>280</v>
          </cell>
          <cell r="Y323">
            <v>487</v>
          </cell>
          <cell r="Z323">
            <v>557</v>
          </cell>
          <cell r="AA323">
            <v>534</v>
          </cell>
          <cell r="AB323">
            <v>1028</v>
          </cell>
          <cell r="AC323">
            <v>133</v>
          </cell>
          <cell r="AD323">
            <v>53</v>
          </cell>
          <cell r="AE323">
            <v>214</v>
          </cell>
          <cell r="AF323">
            <v>14</v>
          </cell>
        </row>
        <row r="324">
          <cell r="A324">
            <v>44884</v>
          </cell>
          <cell r="B324">
            <v>185</v>
          </cell>
          <cell r="C324">
            <v>614</v>
          </cell>
          <cell r="D324">
            <v>125</v>
          </cell>
          <cell r="E324">
            <v>39</v>
          </cell>
          <cell r="F324">
            <v>4683</v>
          </cell>
          <cell r="G324">
            <v>42</v>
          </cell>
          <cell r="H324">
            <v>41</v>
          </cell>
          <cell r="I324">
            <v>8662</v>
          </cell>
          <cell r="J324">
            <v>140</v>
          </cell>
          <cell r="K324">
            <v>66</v>
          </cell>
          <cell r="L324">
            <v>817</v>
          </cell>
          <cell r="M324">
            <v>6</v>
          </cell>
          <cell r="N324">
            <v>1216</v>
          </cell>
          <cell r="O324">
            <v>297</v>
          </cell>
          <cell r="P324">
            <v>127</v>
          </cell>
          <cell r="Q324">
            <v>525</v>
          </cell>
          <cell r="R324">
            <v>14</v>
          </cell>
          <cell r="S324">
            <v>184</v>
          </cell>
          <cell r="T324">
            <v>69</v>
          </cell>
          <cell r="U324">
            <v>56</v>
          </cell>
          <cell r="V324">
            <v>960</v>
          </cell>
          <cell r="W324">
            <v>497</v>
          </cell>
          <cell r="X324">
            <v>360</v>
          </cell>
          <cell r="Y324">
            <v>728</v>
          </cell>
          <cell r="Z324">
            <v>771</v>
          </cell>
          <cell r="AA324">
            <v>612</v>
          </cell>
          <cell r="AB324">
            <v>935</v>
          </cell>
          <cell r="AC324">
            <v>157</v>
          </cell>
          <cell r="AD324">
            <v>50</v>
          </cell>
          <cell r="AE324">
            <v>249</v>
          </cell>
          <cell r="AF324">
            <v>11</v>
          </cell>
        </row>
        <row r="325">
          <cell r="A325">
            <v>44885</v>
          </cell>
          <cell r="B325">
            <v>242</v>
          </cell>
          <cell r="C325">
            <v>951</v>
          </cell>
          <cell r="D325">
            <v>198</v>
          </cell>
          <cell r="E325">
            <v>39</v>
          </cell>
          <cell r="F325">
            <v>6073</v>
          </cell>
          <cell r="G325">
            <v>56</v>
          </cell>
          <cell r="H325">
            <v>39</v>
          </cell>
          <cell r="I325">
            <v>8485</v>
          </cell>
          <cell r="J325">
            <v>232</v>
          </cell>
          <cell r="K325">
            <v>66</v>
          </cell>
          <cell r="L325">
            <v>1173</v>
          </cell>
          <cell r="M325">
            <v>14</v>
          </cell>
          <cell r="N325">
            <v>1204</v>
          </cell>
          <cell r="O325">
            <v>295</v>
          </cell>
          <cell r="P325">
            <v>179</v>
          </cell>
          <cell r="Q325">
            <v>736</v>
          </cell>
          <cell r="R325">
            <v>19</v>
          </cell>
          <cell r="S325">
            <v>216</v>
          </cell>
          <cell r="T325">
            <v>85</v>
          </cell>
          <cell r="U325">
            <v>58</v>
          </cell>
          <cell r="V325">
            <v>922</v>
          </cell>
          <cell r="W325">
            <v>533</v>
          </cell>
          <cell r="X325">
            <v>671</v>
          </cell>
          <cell r="Y325">
            <v>628</v>
          </cell>
          <cell r="Z325">
            <v>655</v>
          </cell>
          <cell r="AA325">
            <v>797</v>
          </cell>
          <cell r="AB325">
            <v>915</v>
          </cell>
          <cell r="AC325">
            <v>130</v>
          </cell>
          <cell r="AD325">
            <v>80</v>
          </cell>
          <cell r="AE325">
            <v>331</v>
          </cell>
          <cell r="AF325">
            <v>15</v>
          </cell>
        </row>
        <row r="326">
          <cell r="A326">
            <v>44886</v>
          </cell>
          <cell r="B326">
            <v>278</v>
          </cell>
          <cell r="C326">
            <v>1426</v>
          </cell>
          <cell r="D326">
            <v>265</v>
          </cell>
          <cell r="E326">
            <v>48</v>
          </cell>
          <cell r="F326">
            <v>6297</v>
          </cell>
          <cell r="G326">
            <v>54</v>
          </cell>
          <cell r="H326">
            <v>27</v>
          </cell>
          <cell r="I326">
            <v>8588</v>
          </cell>
          <cell r="J326">
            <v>234</v>
          </cell>
          <cell r="K326">
            <v>88</v>
          </cell>
          <cell r="L326">
            <v>983</v>
          </cell>
          <cell r="M326">
            <v>24</v>
          </cell>
          <cell r="N326">
            <v>870</v>
          </cell>
          <cell r="O326">
            <v>317</v>
          </cell>
          <cell r="P326">
            <v>125</v>
          </cell>
          <cell r="Q326">
            <v>811</v>
          </cell>
          <cell r="R326">
            <v>4</v>
          </cell>
          <cell r="S326">
            <v>312</v>
          </cell>
          <cell r="T326">
            <v>102</v>
          </cell>
          <cell r="U326">
            <v>115</v>
          </cell>
          <cell r="V326">
            <v>815</v>
          </cell>
          <cell r="W326">
            <v>577</v>
          </cell>
          <cell r="X326">
            <v>988</v>
          </cell>
          <cell r="Y326">
            <v>467</v>
          </cell>
          <cell r="Z326">
            <v>732</v>
          </cell>
          <cell r="AA326">
            <v>1037</v>
          </cell>
          <cell r="AB326">
            <v>953</v>
          </cell>
          <cell r="AC326">
            <v>307</v>
          </cell>
          <cell r="AD326">
            <v>84</v>
          </cell>
          <cell r="AE326">
            <v>362</v>
          </cell>
          <cell r="AF326">
            <v>17</v>
          </cell>
        </row>
        <row r="327">
          <cell r="A327">
            <v>44887</v>
          </cell>
          <cell r="B327">
            <v>336</v>
          </cell>
          <cell r="C327">
            <v>1476</v>
          </cell>
          <cell r="D327">
            <v>245</v>
          </cell>
          <cell r="E327">
            <v>68</v>
          </cell>
          <cell r="F327">
            <v>6866</v>
          </cell>
          <cell r="G327">
            <v>87</v>
          </cell>
          <cell r="H327">
            <v>35</v>
          </cell>
          <cell r="I327">
            <v>8304</v>
          </cell>
          <cell r="J327">
            <v>270</v>
          </cell>
          <cell r="K327">
            <v>141</v>
          </cell>
          <cell r="L327">
            <v>937</v>
          </cell>
          <cell r="M327">
            <v>18</v>
          </cell>
          <cell r="N327">
            <v>850</v>
          </cell>
          <cell r="O327">
            <v>312</v>
          </cell>
          <cell r="P327">
            <v>132</v>
          </cell>
          <cell r="Q327">
            <v>956</v>
          </cell>
          <cell r="R327">
            <v>56</v>
          </cell>
          <cell r="S327">
            <v>398</v>
          </cell>
          <cell r="T327">
            <v>137</v>
          </cell>
          <cell r="U327">
            <v>135</v>
          </cell>
          <cell r="V327">
            <v>645</v>
          </cell>
          <cell r="W327">
            <v>607</v>
          </cell>
          <cell r="X327">
            <v>779</v>
          </cell>
          <cell r="Y327">
            <v>639</v>
          </cell>
          <cell r="Z327">
            <v>725</v>
          </cell>
          <cell r="AA327">
            <v>1231</v>
          </cell>
          <cell r="AB327">
            <v>955</v>
          </cell>
          <cell r="AC327">
            <v>339</v>
          </cell>
          <cell r="AD327">
            <v>96</v>
          </cell>
          <cell r="AE327">
            <v>398</v>
          </cell>
          <cell r="AF327">
            <v>10</v>
          </cell>
        </row>
        <row r="328">
          <cell r="A328">
            <v>44888</v>
          </cell>
          <cell r="B328">
            <v>329</v>
          </cell>
          <cell r="C328">
            <v>1611</v>
          </cell>
          <cell r="D328">
            <v>457</v>
          </cell>
          <cell r="E328">
            <v>67</v>
          </cell>
          <cell r="F328">
            <v>7548</v>
          </cell>
          <cell r="G328">
            <v>89</v>
          </cell>
          <cell r="H328">
            <v>57</v>
          </cell>
          <cell r="I328">
            <v>8054</v>
          </cell>
          <cell r="J328">
            <v>363</v>
          </cell>
          <cell r="K328">
            <v>154</v>
          </cell>
          <cell r="L328">
            <v>860</v>
          </cell>
          <cell r="M328">
            <v>29</v>
          </cell>
          <cell r="N328">
            <v>687</v>
          </cell>
          <cell r="O328">
            <v>412</v>
          </cell>
          <cell r="P328">
            <v>144</v>
          </cell>
          <cell r="Q328">
            <v>942</v>
          </cell>
          <cell r="R328">
            <v>73</v>
          </cell>
          <cell r="S328">
            <v>319</v>
          </cell>
          <cell r="T328">
            <v>302</v>
          </cell>
          <cell r="U328">
            <v>172</v>
          </cell>
          <cell r="V328">
            <v>646</v>
          </cell>
          <cell r="W328">
            <v>696</v>
          </cell>
          <cell r="X328">
            <v>798</v>
          </cell>
          <cell r="Y328">
            <v>1014</v>
          </cell>
          <cell r="Z328">
            <v>787</v>
          </cell>
          <cell r="AA328">
            <v>1274</v>
          </cell>
          <cell r="AB328">
            <v>965</v>
          </cell>
          <cell r="AC328">
            <v>279</v>
          </cell>
          <cell r="AD328">
            <v>119</v>
          </cell>
          <cell r="AE328">
            <v>496</v>
          </cell>
          <cell r="AF328">
            <v>11</v>
          </cell>
        </row>
        <row r="329">
          <cell r="A329">
            <v>44889</v>
          </cell>
          <cell r="B329">
            <v>347</v>
          </cell>
          <cell r="C329">
            <v>1854</v>
          </cell>
          <cell r="D329">
            <v>421</v>
          </cell>
          <cell r="E329">
            <v>86</v>
          </cell>
          <cell r="F329">
            <v>6378</v>
          </cell>
          <cell r="G329">
            <v>157</v>
          </cell>
          <cell r="H329">
            <v>74</v>
          </cell>
          <cell r="I329">
            <v>7979</v>
          </cell>
          <cell r="J329">
            <v>260</v>
          </cell>
          <cell r="K329">
            <v>150</v>
          </cell>
          <cell r="L329">
            <v>870</v>
          </cell>
          <cell r="M329">
            <v>32</v>
          </cell>
          <cell r="N329">
            <v>857</v>
          </cell>
          <cell r="O329">
            <v>390</v>
          </cell>
          <cell r="P329">
            <v>160</v>
          </cell>
          <cell r="Q329">
            <v>3374</v>
          </cell>
          <cell r="R329">
            <v>69</v>
          </cell>
          <cell r="S329">
            <v>578</v>
          </cell>
          <cell r="T329">
            <v>418</v>
          </cell>
          <cell r="U329">
            <v>241</v>
          </cell>
          <cell r="V329">
            <v>629</v>
          </cell>
          <cell r="W329">
            <v>735</v>
          </cell>
          <cell r="X329">
            <v>807</v>
          </cell>
          <cell r="Y329">
            <v>929</v>
          </cell>
          <cell r="Z329">
            <v>822</v>
          </cell>
          <cell r="AA329">
            <v>1295</v>
          </cell>
          <cell r="AB329">
            <v>980</v>
          </cell>
          <cell r="AC329">
            <v>345</v>
          </cell>
          <cell r="AD329">
            <v>165</v>
          </cell>
          <cell r="AE329">
            <v>571</v>
          </cell>
          <cell r="AF329">
            <v>14</v>
          </cell>
        </row>
        <row r="330">
          <cell r="A330">
            <v>44890</v>
          </cell>
          <cell r="B330">
            <v>380</v>
          </cell>
          <cell r="C330">
            <v>2576</v>
          </cell>
          <cell r="D330">
            <v>584</v>
          </cell>
          <cell r="E330">
            <v>89</v>
          </cell>
          <cell r="F330">
            <v>7659</v>
          </cell>
          <cell r="G330">
            <v>129</v>
          </cell>
          <cell r="H330">
            <v>100</v>
          </cell>
          <cell r="I330">
            <v>7911</v>
          </cell>
          <cell r="J330">
            <v>301</v>
          </cell>
          <cell r="K330">
            <v>131</v>
          </cell>
          <cell r="L330">
            <v>712</v>
          </cell>
          <cell r="M330">
            <v>37</v>
          </cell>
          <cell r="N330">
            <v>985</v>
          </cell>
          <cell r="O330">
            <v>446</v>
          </cell>
          <cell r="P330">
            <v>304</v>
          </cell>
          <cell r="Q330">
            <v>1717</v>
          </cell>
          <cell r="R330">
            <v>107</v>
          </cell>
          <cell r="S330">
            <v>622</v>
          </cell>
          <cell r="T330">
            <v>527</v>
          </cell>
          <cell r="U330">
            <v>280</v>
          </cell>
          <cell r="V330">
            <v>529</v>
          </cell>
          <cell r="W330">
            <v>1039</v>
          </cell>
          <cell r="X330">
            <v>878</v>
          </cell>
          <cell r="Y330">
            <v>1473</v>
          </cell>
          <cell r="Z330">
            <v>851</v>
          </cell>
          <cell r="AA330">
            <v>1523</v>
          </cell>
          <cell r="AB330">
            <v>968</v>
          </cell>
          <cell r="AC330">
            <v>475</v>
          </cell>
          <cell r="AD330">
            <v>147</v>
          </cell>
          <cell r="AE330">
            <v>706</v>
          </cell>
          <cell r="AF330">
            <v>16</v>
          </cell>
        </row>
        <row r="331">
          <cell r="A331">
            <v>44891</v>
          </cell>
          <cell r="B331">
            <v>417</v>
          </cell>
          <cell r="C331">
            <v>4245</v>
          </cell>
          <cell r="D331">
            <v>570</v>
          </cell>
          <cell r="E331">
            <v>130</v>
          </cell>
          <cell r="F331">
            <v>8809</v>
          </cell>
          <cell r="G331">
            <v>279</v>
          </cell>
          <cell r="H331">
            <v>140</v>
          </cell>
          <cell r="I331">
            <v>8033</v>
          </cell>
          <cell r="J331">
            <v>301</v>
          </cell>
          <cell r="K331">
            <v>140</v>
          </cell>
          <cell r="L331">
            <v>689</v>
          </cell>
          <cell r="M331">
            <v>42</v>
          </cell>
          <cell r="N331">
            <v>962</v>
          </cell>
          <cell r="O331">
            <v>546</v>
          </cell>
          <cell r="P331">
            <v>222</v>
          </cell>
          <cell r="Q331">
            <v>1622</v>
          </cell>
          <cell r="R331">
            <v>93</v>
          </cell>
          <cell r="S331">
            <v>1207</v>
          </cell>
          <cell r="T331">
            <v>590</v>
          </cell>
          <cell r="U331">
            <v>477</v>
          </cell>
          <cell r="V331">
            <v>549</v>
          </cell>
          <cell r="W331">
            <v>1074</v>
          </cell>
          <cell r="X331">
            <v>899</v>
          </cell>
          <cell r="Y331">
            <v>1195</v>
          </cell>
          <cell r="Z331">
            <v>947</v>
          </cell>
          <cell r="AA331">
            <v>1618</v>
          </cell>
          <cell r="AB331">
            <v>992</v>
          </cell>
          <cell r="AC331">
            <v>488</v>
          </cell>
          <cell r="AD331">
            <v>177</v>
          </cell>
          <cell r="AE331">
            <v>705</v>
          </cell>
          <cell r="AF331">
            <v>14</v>
          </cell>
        </row>
        <row r="332">
          <cell r="A332">
            <v>44892</v>
          </cell>
          <cell r="B332">
            <v>423</v>
          </cell>
          <cell r="C332">
            <v>3860</v>
          </cell>
          <cell r="D332">
            <v>695</v>
          </cell>
          <cell r="E332">
            <v>144</v>
          </cell>
          <cell r="F332">
            <v>9612</v>
          </cell>
          <cell r="G332">
            <v>331</v>
          </cell>
          <cell r="H332">
            <v>140</v>
          </cell>
          <cell r="I332">
            <v>8140</v>
          </cell>
          <cell r="J332">
            <v>396</v>
          </cell>
          <cell r="K332">
            <v>95</v>
          </cell>
          <cell r="L332">
            <v>637</v>
          </cell>
          <cell r="M332">
            <v>45</v>
          </cell>
          <cell r="N332">
            <v>822</v>
          </cell>
          <cell r="O332">
            <v>443</v>
          </cell>
          <cell r="P332">
            <v>393</v>
          </cell>
          <cell r="Q332">
            <v>986</v>
          </cell>
          <cell r="R332">
            <v>66</v>
          </cell>
          <cell r="S332">
            <v>1586</v>
          </cell>
          <cell r="T332">
            <v>475</v>
          </cell>
          <cell r="U332">
            <v>469</v>
          </cell>
          <cell r="V332">
            <v>562</v>
          </cell>
          <cell r="W332">
            <v>754</v>
          </cell>
          <cell r="X332">
            <v>968</v>
          </cell>
          <cell r="Y332">
            <v>1302</v>
          </cell>
          <cell r="Z332">
            <v>1038</v>
          </cell>
          <cell r="AA332">
            <v>1846</v>
          </cell>
          <cell r="AB332">
            <v>1007</v>
          </cell>
          <cell r="AC332">
            <v>643</v>
          </cell>
          <cell r="AD332">
            <v>229</v>
          </cell>
          <cell r="AE332">
            <v>683</v>
          </cell>
          <cell r="AF332">
            <v>18</v>
          </cell>
        </row>
        <row r="333">
          <cell r="A333">
            <v>44893</v>
          </cell>
          <cell r="B333">
            <v>457</v>
          </cell>
          <cell r="C333">
            <v>4370</v>
          </cell>
          <cell r="D333">
            <v>794</v>
          </cell>
          <cell r="E333">
            <v>178</v>
          </cell>
          <cell r="F333">
            <v>8721</v>
          </cell>
          <cell r="G333">
            <v>398</v>
          </cell>
          <cell r="H333">
            <v>167</v>
          </cell>
          <cell r="I333">
            <v>8194</v>
          </cell>
          <cell r="J333">
            <v>384</v>
          </cell>
          <cell r="K333">
            <v>134</v>
          </cell>
          <cell r="L333">
            <v>609</v>
          </cell>
          <cell r="M333">
            <v>51</v>
          </cell>
          <cell r="N333">
            <v>833</v>
          </cell>
          <cell r="O333">
            <v>578</v>
          </cell>
          <cell r="P333">
            <v>351</v>
          </cell>
          <cell r="Q333">
            <v>700</v>
          </cell>
          <cell r="R333">
            <v>57</v>
          </cell>
          <cell r="S333">
            <v>832</v>
          </cell>
          <cell r="T333">
            <v>566</v>
          </cell>
          <cell r="U333">
            <v>465</v>
          </cell>
          <cell r="V333">
            <v>485</v>
          </cell>
          <cell r="W333">
            <v>732</v>
          </cell>
          <cell r="X333">
            <v>864</v>
          </cell>
          <cell r="Y333">
            <v>1460</v>
          </cell>
          <cell r="Z333">
            <v>933</v>
          </cell>
          <cell r="AA333">
            <v>1565</v>
          </cell>
          <cell r="AB333">
            <v>1016</v>
          </cell>
          <cell r="AC333">
            <v>679</v>
          </cell>
          <cell r="AD333">
            <v>237</v>
          </cell>
          <cell r="AE333">
            <v>649</v>
          </cell>
          <cell r="AF333">
            <v>18</v>
          </cell>
        </row>
        <row r="334">
          <cell r="A334">
            <v>44894</v>
          </cell>
          <cell r="B334">
            <v>514</v>
          </cell>
          <cell r="C334">
            <v>4494</v>
          </cell>
          <cell r="D334">
            <v>870</v>
          </cell>
          <cell r="E334">
            <v>187</v>
          </cell>
          <cell r="F334">
            <v>7792</v>
          </cell>
          <cell r="G334">
            <v>262</v>
          </cell>
          <cell r="H334">
            <v>145</v>
          </cell>
          <cell r="I334">
            <v>8006</v>
          </cell>
          <cell r="J334">
            <v>597</v>
          </cell>
          <cell r="K334">
            <v>186</v>
          </cell>
          <cell r="L334">
            <v>534</v>
          </cell>
          <cell r="M334">
            <v>45</v>
          </cell>
          <cell r="N334">
            <v>651</v>
          </cell>
          <cell r="O334">
            <v>692</v>
          </cell>
          <cell r="P334">
            <v>291</v>
          </cell>
          <cell r="Q334">
            <v>487</v>
          </cell>
          <cell r="R334">
            <v>71</v>
          </cell>
          <cell r="S334">
            <v>802</v>
          </cell>
          <cell r="T334">
            <v>612</v>
          </cell>
          <cell r="U334">
            <v>462</v>
          </cell>
          <cell r="V334">
            <v>417</v>
          </cell>
          <cell r="W334">
            <v>723</v>
          </cell>
          <cell r="X334">
            <v>930</v>
          </cell>
          <cell r="Y334">
            <v>2056</v>
          </cell>
          <cell r="Z334">
            <v>795</v>
          </cell>
          <cell r="AA334">
            <v>1398</v>
          </cell>
          <cell r="AB334">
            <v>1022</v>
          </cell>
          <cell r="AC334">
            <v>696</v>
          </cell>
          <cell r="AD334">
            <v>269</v>
          </cell>
          <cell r="AE334">
            <v>663</v>
          </cell>
          <cell r="AF334">
            <v>14</v>
          </cell>
        </row>
        <row r="335">
          <cell r="A335">
            <v>44895</v>
          </cell>
          <cell r="B335">
            <v>517</v>
          </cell>
          <cell r="C335">
            <v>5006</v>
          </cell>
          <cell r="D335">
            <v>721</v>
          </cell>
          <cell r="E335">
            <v>197</v>
          </cell>
          <cell r="F335">
            <v>6584</v>
          </cell>
          <cell r="G335">
            <v>293</v>
          </cell>
          <cell r="H335">
            <v>182</v>
          </cell>
          <cell r="I335">
            <v>7252</v>
          </cell>
          <cell r="J335">
            <v>755</v>
          </cell>
          <cell r="K335">
            <v>165</v>
          </cell>
          <cell r="L335">
            <v>471</v>
          </cell>
          <cell r="M335">
            <v>91</v>
          </cell>
          <cell r="N335">
            <v>429</v>
          </cell>
          <cell r="O335">
            <v>752</v>
          </cell>
          <cell r="P335">
            <v>303</v>
          </cell>
          <cell r="Q335">
            <v>452</v>
          </cell>
          <cell r="R335">
            <v>81</v>
          </cell>
          <cell r="S335">
            <v>732</v>
          </cell>
          <cell r="T335">
            <v>559</v>
          </cell>
          <cell r="U335">
            <v>431</v>
          </cell>
          <cell r="V335">
            <v>332</v>
          </cell>
          <cell r="W335">
            <v>641</v>
          </cell>
          <cell r="X335">
            <v>646</v>
          </cell>
          <cell r="Y335">
            <v>2330</v>
          </cell>
          <cell r="Z335">
            <v>725</v>
          </cell>
          <cell r="AA335">
            <v>1405</v>
          </cell>
          <cell r="AB335">
            <v>993</v>
          </cell>
          <cell r="AC335">
            <v>955</v>
          </cell>
          <cell r="AD335">
            <v>253</v>
          </cell>
          <cell r="AE335">
            <v>677</v>
          </cell>
          <cell r="AF335">
            <v>12</v>
          </cell>
        </row>
        <row r="336">
          <cell r="A336">
            <v>44896</v>
          </cell>
          <cell r="B336">
            <v>548</v>
          </cell>
          <cell r="C336">
            <v>3942</v>
          </cell>
          <cell r="D336">
            <v>690</v>
          </cell>
          <cell r="E336">
            <v>235</v>
          </cell>
          <cell r="F336">
            <v>6472</v>
          </cell>
          <cell r="G336">
            <v>383</v>
          </cell>
          <cell r="H336">
            <v>222</v>
          </cell>
          <cell r="I336">
            <v>6968</v>
          </cell>
          <cell r="J336">
            <v>686</v>
          </cell>
          <cell r="K336">
            <v>251</v>
          </cell>
          <cell r="L336">
            <v>396</v>
          </cell>
          <cell r="M336">
            <v>101</v>
          </cell>
          <cell r="N336">
            <v>367</v>
          </cell>
          <cell r="O336">
            <v>747</v>
          </cell>
          <cell r="P336">
            <v>347</v>
          </cell>
          <cell r="Q336">
            <v>374</v>
          </cell>
          <cell r="R336">
            <v>67</v>
          </cell>
          <cell r="S336">
            <v>487</v>
          </cell>
          <cell r="T336">
            <v>556</v>
          </cell>
          <cell r="U336">
            <v>437</v>
          </cell>
          <cell r="V336">
            <v>392</v>
          </cell>
          <cell r="W336">
            <v>691</v>
          </cell>
          <cell r="X336">
            <v>664</v>
          </cell>
          <cell r="Y336">
            <v>2509</v>
          </cell>
          <cell r="Z336">
            <v>860</v>
          </cell>
          <cell r="AA336">
            <v>1203</v>
          </cell>
          <cell r="AB336">
            <v>830</v>
          </cell>
          <cell r="AC336">
            <v>1164</v>
          </cell>
          <cell r="AD336">
            <v>351</v>
          </cell>
          <cell r="AE336">
            <v>726</v>
          </cell>
          <cell r="AF336">
            <v>17</v>
          </cell>
        </row>
        <row r="337">
          <cell r="A337">
            <v>44897</v>
          </cell>
          <cell r="B337">
            <v>592</v>
          </cell>
          <cell r="C337">
            <v>3281</v>
          </cell>
          <cell r="D337">
            <v>567</v>
          </cell>
          <cell r="E337">
            <v>291</v>
          </cell>
          <cell r="F337">
            <v>5798</v>
          </cell>
          <cell r="G337">
            <v>320</v>
          </cell>
          <cell r="H337">
            <v>259</v>
          </cell>
          <cell r="I337">
            <v>6315</v>
          </cell>
          <cell r="J337">
            <v>697</v>
          </cell>
          <cell r="K337">
            <v>283</v>
          </cell>
          <cell r="L337">
            <v>332</v>
          </cell>
          <cell r="M337">
            <v>136</v>
          </cell>
          <cell r="N337">
            <v>325</v>
          </cell>
          <cell r="O337">
            <v>634</v>
          </cell>
          <cell r="P337">
            <v>381</v>
          </cell>
          <cell r="Q337">
            <v>361</v>
          </cell>
          <cell r="R337">
            <v>106</v>
          </cell>
          <cell r="S337">
            <v>427</v>
          </cell>
          <cell r="T337">
            <v>503</v>
          </cell>
          <cell r="U337">
            <v>434</v>
          </cell>
          <cell r="V337">
            <v>413</v>
          </cell>
          <cell r="W337">
            <v>600</v>
          </cell>
          <cell r="X337">
            <v>760</v>
          </cell>
          <cell r="Y337">
            <v>3376</v>
          </cell>
          <cell r="Z337">
            <v>931</v>
          </cell>
          <cell r="AA337">
            <v>1168</v>
          </cell>
          <cell r="AB337">
            <v>748</v>
          </cell>
          <cell r="AC337">
            <v>1047</v>
          </cell>
          <cell r="AD337">
            <v>464</v>
          </cell>
          <cell r="AE337">
            <v>637</v>
          </cell>
          <cell r="AF337">
            <v>20</v>
          </cell>
        </row>
        <row r="338">
          <cell r="A338">
            <v>44898</v>
          </cell>
          <cell r="B338">
            <v>588</v>
          </cell>
          <cell r="C338">
            <v>3179</v>
          </cell>
          <cell r="D338">
            <v>537</v>
          </cell>
          <cell r="E338">
            <v>486</v>
          </cell>
          <cell r="F338">
            <v>5245</v>
          </cell>
          <cell r="G338">
            <v>332</v>
          </cell>
          <cell r="H338">
            <v>368</v>
          </cell>
          <cell r="I338">
            <v>6240</v>
          </cell>
          <cell r="J338">
            <v>402</v>
          </cell>
          <cell r="K338">
            <v>249</v>
          </cell>
          <cell r="L338">
            <v>282</v>
          </cell>
          <cell r="M338">
            <v>149</v>
          </cell>
          <cell r="N338">
            <v>343</v>
          </cell>
          <cell r="O338">
            <v>1121</v>
          </cell>
          <cell r="P338">
            <v>474</v>
          </cell>
          <cell r="Q338">
            <v>211</v>
          </cell>
          <cell r="R338">
            <v>191</v>
          </cell>
          <cell r="S338">
            <v>376</v>
          </cell>
          <cell r="T338">
            <v>447</v>
          </cell>
          <cell r="U338">
            <v>349</v>
          </cell>
          <cell r="V338">
            <v>410</v>
          </cell>
          <cell r="W338">
            <v>643</v>
          </cell>
          <cell r="X338">
            <v>703</v>
          </cell>
          <cell r="Y338">
            <v>2771</v>
          </cell>
          <cell r="Z338">
            <v>948</v>
          </cell>
          <cell r="AA338">
            <v>1102</v>
          </cell>
          <cell r="AB338">
            <v>699</v>
          </cell>
          <cell r="AC338">
            <v>1024</v>
          </cell>
          <cell r="AD338">
            <v>517</v>
          </cell>
          <cell r="AE338">
            <v>488</v>
          </cell>
          <cell r="AF338">
            <v>15</v>
          </cell>
        </row>
        <row r="339">
          <cell r="A339">
            <v>44899</v>
          </cell>
          <cell r="B339">
            <v>575</v>
          </cell>
          <cell r="C339">
            <v>3738</v>
          </cell>
          <cell r="D339">
            <v>497</v>
          </cell>
          <cell r="E339">
            <v>565</v>
          </cell>
          <cell r="F339">
            <v>4774</v>
          </cell>
          <cell r="G339">
            <v>331</v>
          </cell>
          <cell r="H339">
            <v>395</v>
          </cell>
          <cell r="I339">
            <v>6184</v>
          </cell>
          <cell r="J339">
            <v>378</v>
          </cell>
          <cell r="K339">
            <v>237</v>
          </cell>
          <cell r="L339">
            <v>232</v>
          </cell>
          <cell r="M339">
            <v>231</v>
          </cell>
          <cell r="N339">
            <v>332</v>
          </cell>
          <cell r="O339">
            <v>1263</v>
          </cell>
          <cell r="P339">
            <v>520</v>
          </cell>
          <cell r="Q339">
            <v>196</v>
          </cell>
          <cell r="R339">
            <v>172</v>
          </cell>
          <cell r="S339">
            <v>362</v>
          </cell>
          <cell r="T339">
            <v>390</v>
          </cell>
          <cell r="U339">
            <v>328</v>
          </cell>
          <cell r="V339">
            <v>445</v>
          </cell>
          <cell r="W339">
            <v>481</v>
          </cell>
          <cell r="X339">
            <v>645</v>
          </cell>
          <cell r="Y339">
            <v>1411</v>
          </cell>
          <cell r="Z339">
            <v>1041</v>
          </cell>
          <cell r="AA339">
            <v>1051</v>
          </cell>
          <cell r="AB339">
            <v>676</v>
          </cell>
          <cell r="AC339">
            <v>791</v>
          </cell>
          <cell r="AD339">
            <v>505</v>
          </cell>
          <cell r="AE339">
            <v>398</v>
          </cell>
          <cell r="AF339">
            <v>27</v>
          </cell>
        </row>
        <row r="340">
          <cell r="A340">
            <v>44900</v>
          </cell>
          <cell r="B340">
            <v>497</v>
          </cell>
          <cell r="C340">
            <v>4637</v>
          </cell>
          <cell r="D340">
            <v>451</v>
          </cell>
          <cell r="E340">
            <v>577</v>
          </cell>
          <cell r="F340">
            <v>4084</v>
          </cell>
          <cell r="G340">
            <v>258</v>
          </cell>
          <cell r="H340">
            <v>458</v>
          </cell>
          <cell r="I340">
            <v>5110</v>
          </cell>
          <cell r="J340">
            <v>304</v>
          </cell>
          <cell r="K340">
            <v>380</v>
          </cell>
          <cell r="L340">
            <v>193</v>
          </cell>
          <cell r="M340">
            <v>211</v>
          </cell>
          <cell r="N340">
            <v>351</v>
          </cell>
          <cell r="O340">
            <v>1328</v>
          </cell>
          <cell r="P340">
            <v>290</v>
          </cell>
          <cell r="Q340">
            <v>184</v>
          </cell>
          <cell r="R340">
            <v>101</v>
          </cell>
          <cell r="S340">
            <v>269</v>
          </cell>
          <cell r="T340">
            <v>324</v>
          </cell>
          <cell r="U340">
            <v>270</v>
          </cell>
          <cell r="V340">
            <v>345</v>
          </cell>
          <cell r="W340">
            <v>348</v>
          </cell>
          <cell r="X340">
            <v>567</v>
          </cell>
          <cell r="Y340">
            <v>1623</v>
          </cell>
          <cell r="Z340">
            <v>1041</v>
          </cell>
          <cell r="AA340">
            <v>1128</v>
          </cell>
          <cell r="AB340">
            <v>561</v>
          </cell>
          <cell r="AC340">
            <v>490</v>
          </cell>
          <cell r="AD340">
            <v>311</v>
          </cell>
          <cell r="AE340">
            <v>438</v>
          </cell>
          <cell r="AF340">
            <v>35</v>
          </cell>
        </row>
        <row r="341">
          <cell r="A341">
            <v>44901</v>
          </cell>
          <cell r="B341">
            <v>440</v>
          </cell>
          <cell r="C341">
            <v>3938</v>
          </cell>
          <cell r="D341">
            <v>411</v>
          </cell>
          <cell r="E341">
            <v>478</v>
          </cell>
          <cell r="F341">
            <v>3709</v>
          </cell>
          <cell r="G341">
            <v>244</v>
          </cell>
          <cell r="H341">
            <v>580</v>
          </cell>
          <cell r="I341">
            <v>4486</v>
          </cell>
          <cell r="J341">
            <v>317</v>
          </cell>
          <cell r="K341">
            <v>563</v>
          </cell>
          <cell r="L341">
            <v>147</v>
          </cell>
          <cell r="M341">
            <v>253</v>
          </cell>
          <cell r="N341">
            <v>368</v>
          </cell>
          <cell r="O341">
            <v>1131</v>
          </cell>
          <cell r="P341">
            <v>248</v>
          </cell>
          <cell r="Q341">
            <v>154</v>
          </cell>
          <cell r="R341">
            <v>78</v>
          </cell>
          <cell r="S341">
            <v>223</v>
          </cell>
          <cell r="T341">
            <v>290</v>
          </cell>
          <cell r="U341">
            <v>247</v>
          </cell>
          <cell r="V341">
            <v>312</v>
          </cell>
          <cell r="W341">
            <v>239</v>
          </cell>
          <cell r="X341">
            <v>496</v>
          </cell>
          <cell r="Y341">
            <v>1396</v>
          </cell>
          <cell r="Z341">
            <v>1069</v>
          </cell>
          <cell r="AA341">
            <v>984</v>
          </cell>
          <cell r="AB341">
            <v>416</v>
          </cell>
          <cell r="AC341">
            <v>453</v>
          </cell>
          <cell r="AD341">
            <v>287</v>
          </cell>
          <cell r="AE341">
            <v>449</v>
          </cell>
          <cell r="AF341">
            <v>34</v>
          </cell>
        </row>
        <row r="342">
          <cell r="A342">
            <v>44902</v>
          </cell>
          <cell r="B342">
            <v>377</v>
          </cell>
          <cell r="C342">
            <v>3348</v>
          </cell>
          <cell r="D342">
            <v>365</v>
          </cell>
          <cell r="E342">
            <v>366</v>
          </cell>
          <cell r="F342">
            <v>3130</v>
          </cell>
          <cell r="G342">
            <v>165</v>
          </cell>
          <cell r="H342">
            <v>578</v>
          </cell>
          <cell r="I342">
            <v>3964</v>
          </cell>
          <cell r="J342">
            <v>194</v>
          </cell>
          <cell r="K342">
            <v>685</v>
          </cell>
          <cell r="L342">
            <v>112</v>
          </cell>
          <cell r="M342">
            <v>290</v>
          </cell>
          <cell r="N342">
            <v>418</v>
          </cell>
          <cell r="O342">
            <v>946</v>
          </cell>
          <cell r="P342">
            <v>135</v>
          </cell>
          <cell r="Q342">
            <v>149</v>
          </cell>
          <cell r="R342">
            <v>44</v>
          </cell>
          <cell r="S342">
            <v>194</v>
          </cell>
          <cell r="T342">
            <v>289</v>
          </cell>
          <cell r="U342">
            <v>218</v>
          </cell>
          <cell r="V342">
            <v>198</v>
          </cell>
          <cell r="W342">
            <v>169</v>
          </cell>
          <cell r="X342">
            <v>468</v>
          </cell>
          <cell r="Y342">
            <v>1125</v>
          </cell>
          <cell r="Z342">
            <v>874</v>
          </cell>
          <cell r="AA342">
            <v>704</v>
          </cell>
          <cell r="AB342">
            <v>237</v>
          </cell>
          <cell r="AC342">
            <v>445</v>
          </cell>
          <cell r="AD342">
            <v>279</v>
          </cell>
          <cell r="AE342">
            <v>311</v>
          </cell>
          <cell r="AF342">
            <v>20</v>
          </cell>
        </row>
        <row r="343">
          <cell r="A343">
            <v>44903</v>
          </cell>
          <cell r="B343">
            <v>296</v>
          </cell>
          <cell r="C343">
            <v>2654</v>
          </cell>
          <cell r="D343">
            <v>329</v>
          </cell>
          <cell r="E343">
            <v>331</v>
          </cell>
          <cell r="F343">
            <v>2752</v>
          </cell>
          <cell r="G343">
            <v>73</v>
          </cell>
          <cell r="H343">
            <v>299</v>
          </cell>
          <cell r="I343">
            <v>3245</v>
          </cell>
          <cell r="J343">
            <v>101</v>
          </cell>
          <cell r="K343">
            <v>350</v>
          </cell>
          <cell r="L343">
            <v>92</v>
          </cell>
          <cell r="M343">
            <v>221</v>
          </cell>
          <cell r="N343">
            <v>403</v>
          </cell>
          <cell r="O343">
            <v>754</v>
          </cell>
          <cell r="P343">
            <v>69</v>
          </cell>
          <cell r="Q343">
            <v>136</v>
          </cell>
          <cell r="R343">
            <v>35</v>
          </cell>
          <cell r="S343">
            <v>161</v>
          </cell>
          <cell r="T343">
            <v>209</v>
          </cell>
          <cell r="U343">
            <v>194</v>
          </cell>
          <cell r="V343">
            <v>107</v>
          </cell>
          <cell r="W343">
            <v>151</v>
          </cell>
          <cell r="X343">
            <v>488</v>
          </cell>
          <cell r="Y343">
            <v>1072</v>
          </cell>
          <cell r="Z343">
            <v>609</v>
          </cell>
          <cell r="AA343">
            <v>346</v>
          </cell>
          <cell r="AB343">
            <v>54</v>
          </cell>
          <cell r="AC343">
            <v>328</v>
          </cell>
          <cell r="AD343">
            <v>220</v>
          </cell>
          <cell r="AE343">
            <v>270</v>
          </cell>
          <cell r="AF343">
            <v>14</v>
          </cell>
        </row>
        <row r="344">
          <cell r="A344">
            <v>44904</v>
          </cell>
          <cell r="B344">
            <v>249</v>
          </cell>
          <cell r="C344">
            <v>2223</v>
          </cell>
          <cell r="D344">
            <v>291</v>
          </cell>
          <cell r="E344">
            <v>272</v>
          </cell>
          <cell r="F344">
            <v>2359</v>
          </cell>
          <cell r="G344">
            <v>56</v>
          </cell>
          <cell r="H344">
            <v>173</v>
          </cell>
          <cell r="I344">
            <v>2812</v>
          </cell>
          <cell r="J344">
            <v>102</v>
          </cell>
          <cell r="K344">
            <v>72</v>
          </cell>
          <cell r="L344">
            <v>56</v>
          </cell>
          <cell r="M344">
            <v>221</v>
          </cell>
          <cell r="N344">
            <v>150</v>
          </cell>
          <cell r="O344">
            <v>789</v>
          </cell>
          <cell r="P344">
            <v>17</v>
          </cell>
          <cell r="Q344">
            <v>136</v>
          </cell>
          <cell r="R344">
            <v>27</v>
          </cell>
          <cell r="S344">
            <v>173</v>
          </cell>
          <cell r="T344">
            <v>153</v>
          </cell>
          <cell r="U344">
            <v>124</v>
          </cell>
          <cell r="V344">
            <v>92</v>
          </cell>
          <cell r="W344">
            <v>170</v>
          </cell>
          <cell r="X344">
            <v>455</v>
          </cell>
          <cell r="Y344">
            <v>647</v>
          </cell>
          <cell r="Z344">
            <v>470</v>
          </cell>
          <cell r="AA344">
            <v>255</v>
          </cell>
          <cell r="AB344">
            <v>21</v>
          </cell>
          <cell r="AC344">
            <v>266</v>
          </cell>
          <cell r="AD344">
            <v>181</v>
          </cell>
          <cell r="AE344">
            <v>246</v>
          </cell>
          <cell r="AF344">
            <v>14</v>
          </cell>
        </row>
        <row r="345">
          <cell r="A345">
            <v>44905</v>
          </cell>
          <cell r="B345">
            <v>184</v>
          </cell>
          <cell r="C345">
            <v>1651</v>
          </cell>
          <cell r="D345">
            <v>279</v>
          </cell>
          <cell r="E345">
            <v>201</v>
          </cell>
          <cell r="F345">
            <v>1983</v>
          </cell>
          <cell r="G345">
            <v>26</v>
          </cell>
          <cell r="H345">
            <v>138</v>
          </cell>
          <cell r="I345">
            <v>2492</v>
          </cell>
          <cell r="J345">
            <v>70</v>
          </cell>
          <cell r="K345">
            <v>13</v>
          </cell>
          <cell r="L345">
            <v>25</v>
          </cell>
          <cell r="M345">
            <v>286</v>
          </cell>
          <cell r="N345">
            <v>80</v>
          </cell>
          <cell r="O345">
            <v>649</v>
          </cell>
          <cell r="P345">
            <v>33</v>
          </cell>
          <cell r="Q345">
            <v>127</v>
          </cell>
          <cell r="R345">
            <v>1</v>
          </cell>
          <cell r="S345">
            <v>107</v>
          </cell>
          <cell r="T345">
            <v>96</v>
          </cell>
          <cell r="U345">
            <v>57</v>
          </cell>
          <cell r="V345">
            <v>61</v>
          </cell>
          <cell r="W345">
            <v>193</v>
          </cell>
          <cell r="X345">
            <v>346</v>
          </cell>
          <cell r="Y345">
            <v>433</v>
          </cell>
          <cell r="Z345">
            <v>267</v>
          </cell>
          <cell r="AA345">
            <v>162</v>
          </cell>
          <cell r="AB345">
            <v>10</v>
          </cell>
          <cell r="AC345">
            <v>143</v>
          </cell>
          <cell r="AD345">
            <v>160</v>
          </cell>
          <cell r="AE345">
            <v>225</v>
          </cell>
          <cell r="AF345">
            <v>16</v>
          </cell>
        </row>
        <row r="346">
          <cell r="A346">
            <v>44906</v>
          </cell>
          <cell r="B346">
            <v>108</v>
          </cell>
          <cell r="C346">
            <v>1133</v>
          </cell>
          <cell r="D346">
            <v>254</v>
          </cell>
          <cell r="E346">
            <v>131</v>
          </cell>
          <cell r="F346">
            <v>1837</v>
          </cell>
          <cell r="G346">
            <v>17</v>
          </cell>
          <cell r="H346">
            <v>108</v>
          </cell>
          <cell r="I346">
            <v>2311</v>
          </cell>
          <cell r="J346">
            <v>39</v>
          </cell>
          <cell r="K346">
            <v>5</v>
          </cell>
          <cell r="L346">
            <v>31</v>
          </cell>
          <cell r="M346">
            <v>323</v>
          </cell>
          <cell r="N346">
            <v>155</v>
          </cell>
          <cell r="O346">
            <v>298</v>
          </cell>
          <cell r="P346">
            <v>16</v>
          </cell>
          <cell r="Q346">
            <v>127</v>
          </cell>
          <cell r="R346">
            <v>3</v>
          </cell>
          <cell r="S346">
            <v>60</v>
          </cell>
          <cell r="T346">
            <v>72</v>
          </cell>
          <cell r="U346">
            <v>41</v>
          </cell>
          <cell r="V346">
            <v>37</v>
          </cell>
          <cell r="W346">
            <v>172</v>
          </cell>
          <cell r="X346">
            <v>253</v>
          </cell>
          <cell r="Y346">
            <v>296</v>
          </cell>
          <cell r="Z346">
            <v>143</v>
          </cell>
          <cell r="AA346">
            <v>148</v>
          </cell>
          <cell r="AB346">
            <v>3</v>
          </cell>
          <cell r="AC346">
            <v>101</v>
          </cell>
          <cell r="AD346">
            <v>171</v>
          </cell>
          <cell r="AE346">
            <v>158</v>
          </cell>
          <cell r="AF346">
            <v>10</v>
          </cell>
        </row>
        <row r="347">
          <cell r="A347">
            <v>44907</v>
          </cell>
          <cell r="B347">
            <v>79</v>
          </cell>
          <cell r="C347">
            <v>1026</v>
          </cell>
          <cell r="D347">
            <v>216</v>
          </cell>
          <cell r="E347">
            <v>129</v>
          </cell>
          <cell r="F347">
            <v>1552</v>
          </cell>
          <cell r="G347">
            <v>22</v>
          </cell>
          <cell r="H347">
            <v>53</v>
          </cell>
          <cell r="I347">
            <v>1932</v>
          </cell>
          <cell r="J347">
            <v>40</v>
          </cell>
          <cell r="K347">
            <v>1</v>
          </cell>
          <cell r="L347">
            <v>3</v>
          </cell>
          <cell r="M347">
            <v>250</v>
          </cell>
          <cell r="N347">
            <v>156</v>
          </cell>
          <cell r="O347">
            <v>234</v>
          </cell>
          <cell r="P347">
            <v>10</v>
          </cell>
          <cell r="Q347">
            <v>127</v>
          </cell>
          <cell r="R347">
            <v>3</v>
          </cell>
          <cell r="S347">
            <v>45</v>
          </cell>
          <cell r="T347">
            <v>50</v>
          </cell>
          <cell r="U347">
            <v>25</v>
          </cell>
          <cell r="V347">
            <v>12</v>
          </cell>
          <cell r="W347">
            <v>127</v>
          </cell>
          <cell r="X347">
            <v>225</v>
          </cell>
          <cell r="Y347">
            <v>243</v>
          </cell>
          <cell r="Z347">
            <v>114</v>
          </cell>
          <cell r="AA347">
            <v>113</v>
          </cell>
          <cell r="AB347">
            <v>7</v>
          </cell>
          <cell r="AC347">
            <v>96</v>
          </cell>
          <cell r="AD347">
            <v>297</v>
          </cell>
          <cell r="AE347">
            <v>106</v>
          </cell>
          <cell r="AF347">
            <v>5</v>
          </cell>
        </row>
        <row r="348">
          <cell r="A348">
            <v>44908</v>
          </cell>
          <cell r="B348">
            <v>12</v>
          </cell>
          <cell r="C348">
            <v>476</v>
          </cell>
          <cell r="D348">
            <v>1</v>
          </cell>
          <cell r="E348">
            <v>16</v>
          </cell>
          <cell r="F348">
            <v>179</v>
          </cell>
          <cell r="H348">
            <v>70</v>
          </cell>
          <cell r="I348">
            <v>1044</v>
          </cell>
          <cell r="J348">
            <v>2</v>
          </cell>
          <cell r="K348">
            <v>4</v>
          </cell>
          <cell r="M348">
            <v>112</v>
          </cell>
          <cell r="N348">
            <v>66</v>
          </cell>
          <cell r="O348">
            <v>11</v>
          </cell>
          <cell r="P348">
            <v>1</v>
          </cell>
          <cell r="Q348">
            <v>1</v>
          </cell>
          <cell r="T348">
            <v>20</v>
          </cell>
          <cell r="V348">
            <v>13</v>
          </cell>
          <cell r="X348">
            <v>20</v>
          </cell>
          <cell r="Y348">
            <v>1</v>
          </cell>
          <cell r="Z348">
            <v>19</v>
          </cell>
          <cell r="AA348">
            <v>73</v>
          </cell>
          <cell r="AC348">
            <v>16</v>
          </cell>
          <cell r="AD348">
            <v>90</v>
          </cell>
          <cell r="AE348">
            <v>2</v>
          </cell>
        </row>
      </sheetData>
      <sheetData sheetId="2">
        <row r="1">
          <cell r="B1" t="str">
            <v>上海</v>
          </cell>
          <cell r="E1" t="str">
            <v>吉林</v>
          </cell>
          <cell r="H1" t="str">
            <v>海南</v>
          </cell>
        </row>
        <row r="2">
          <cell r="A2">
            <v>44621</v>
          </cell>
          <cell r="B2">
            <v>2</v>
          </cell>
          <cell r="D2">
            <v>44621</v>
          </cell>
          <cell r="E2">
            <v>8</v>
          </cell>
          <cell r="G2">
            <v>44774</v>
          </cell>
          <cell r="H2">
            <v>1</v>
          </cell>
        </row>
        <row r="3">
          <cell r="A3">
            <v>44622</v>
          </cell>
          <cell r="B3">
            <v>8</v>
          </cell>
          <cell r="D3">
            <v>44622</v>
          </cell>
          <cell r="E3">
            <v>10</v>
          </cell>
          <cell r="G3">
            <v>44775</v>
          </cell>
          <cell r="H3">
            <v>13</v>
          </cell>
        </row>
        <row r="4">
          <cell r="A4">
            <v>44623</v>
          </cell>
          <cell r="B4">
            <v>16</v>
          </cell>
          <cell r="D4">
            <v>44623</v>
          </cell>
          <cell r="E4">
            <v>16</v>
          </cell>
          <cell r="G4">
            <v>44776</v>
          </cell>
          <cell r="H4">
            <v>27</v>
          </cell>
        </row>
        <row r="5">
          <cell r="A5">
            <v>44624</v>
          </cell>
          <cell r="B5">
            <v>19</v>
          </cell>
          <cell r="D5">
            <v>44624</v>
          </cell>
          <cell r="E5">
            <v>43</v>
          </cell>
          <cell r="G5">
            <v>44777</v>
          </cell>
          <cell r="H5">
            <v>161</v>
          </cell>
        </row>
        <row r="6">
          <cell r="A6">
            <v>44625</v>
          </cell>
          <cell r="B6">
            <v>28</v>
          </cell>
          <cell r="D6">
            <v>44625</v>
          </cell>
          <cell r="E6">
            <v>59</v>
          </cell>
          <cell r="G6">
            <v>44778</v>
          </cell>
          <cell r="H6">
            <v>301</v>
          </cell>
        </row>
        <row r="7">
          <cell r="A7">
            <v>44626</v>
          </cell>
          <cell r="B7">
            <v>48</v>
          </cell>
          <cell r="D7">
            <v>44626</v>
          </cell>
          <cell r="E7">
            <v>64</v>
          </cell>
          <cell r="G7">
            <v>44779</v>
          </cell>
          <cell r="H7">
            <v>457</v>
          </cell>
        </row>
        <row r="8">
          <cell r="A8">
            <v>44627</v>
          </cell>
          <cell r="B8">
            <v>55</v>
          </cell>
          <cell r="D8">
            <v>44627</v>
          </cell>
          <cell r="E8">
            <v>72</v>
          </cell>
          <cell r="G8">
            <v>44780</v>
          </cell>
          <cell r="H8">
            <v>471</v>
          </cell>
        </row>
        <row r="9">
          <cell r="A9">
            <v>44628</v>
          </cell>
          <cell r="B9">
            <v>65</v>
          </cell>
          <cell r="D9">
            <v>44628</v>
          </cell>
          <cell r="E9">
            <v>174</v>
          </cell>
          <cell r="G9">
            <v>44781</v>
          </cell>
          <cell r="H9">
            <v>428</v>
          </cell>
        </row>
        <row r="10">
          <cell r="A10">
            <v>44629</v>
          </cell>
          <cell r="B10">
            <v>80</v>
          </cell>
          <cell r="D10">
            <v>44629</v>
          </cell>
          <cell r="E10">
            <v>343</v>
          </cell>
          <cell r="G10">
            <v>44782</v>
          </cell>
          <cell r="H10">
            <v>556</v>
          </cell>
        </row>
        <row r="11">
          <cell r="A11">
            <v>44630</v>
          </cell>
          <cell r="B11">
            <v>75</v>
          </cell>
          <cell r="D11">
            <v>44630</v>
          </cell>
          <cell r="E11">
            <v>242</v>
          </cell>
          <cell r="G11">
            <v>44783</v>
          </cell>
          <cell r="H11">
            <v>1355</v>
          </cell>
        </row>
        <row r="12">
          <cell r="A12">
            <v>44631</v>
          </cell>
          <cell r="B12">
            <v>83</v>
          </cell>
          <cell r="D12">
            <v>44631</v>
          </cell>
          <cell r="E12">
            <v>400</v>
          </cell>
          <cell r="G12">
            <v>44784</v>
          </cell>
          <cell r="H12">
            <v>1208</v>
          </cell>
        </row>
        <row r="13">
          <cell r="A13">
            <v>44632</v>
          </cell>
          <cell r="B13">
            <v>65</v>
          </cell>
          <cell r="D13">
            <v>44632</v>
          </cell>
          <cell r="E13">
            <v>2156</v>
          </cell>
          <cell r="G13">
            <v>44785</v>
          </cell>
          <cell r="H13">
            <v>1421</v>
          </cell>
        </row>
        <row r="14">
          <cell r="A14">
            <v>44633</v>
          </cell>
          <cell r="B14">
            <v>167</v>
          </cell>
          <cell r="D14">
            <v>44633</v>
          </cell>
          <cell r="E14">
            <v>985</v>
          </cell>
          <cell r="G14">
            <v>44786</v>
          </cell>
          <cell r="H14">
            <v>1337</v>
          </cell>
        </row>
        <row r="15">
          <cell r="A15">
            <v>44634</v>
          </cell>
          <cell r="B15">
            <v>139</v>
          </cell>
          <cell r="D15">
            <v>44634</v>
          </cell>
          <cell r="E15">
            <v>4048</v>
          </cell>
          <cell r="G15">
            <v>44787</v>
          </cell>
          <cell r="H15">
            <v>1149</v>
          </cell>
        </row>
        <row r="16">
          <cell r="A16">
            <v>44635</v>
          </cell>
          <cell r="B16">
            <v>202</v>
          </cell>
          <cell r="D16">
            <v>44635</v>
          </cell>
          <cell r="E16">
            <v>1832</v>
          </cell>
          <cell r="G16">
            <v>44788</v>
          </cell>
          <cell r="H16">
            <v>1210</v>
          </cell>
        </row>
        <row r="17">
          <cell r="A17">
            <v>44636</v>
          </cell>
          <cell r="B17">
            <v>157</v>
          </cell>
          <cell r="D17">
            <v>44636</v>
          </cell>
          <cell r="E17">
            <v>1146</v>
          </cell>
          <cell r="G17">
            <v>44789</v>
          </cell>
          <cell r="H17">
            <v>1662</v>
          </cell>
        </row>
        <row r="18">
          <cell r="A18">
            <v>44637</v>
          </cell>
          <cell r="B18">
            <v>260</v>
          </cell>
          <cell r="D18">
            <v>44637</v>
          </cell>
          <cell r="E18">
            <v>2626</v>
          </cell>
          <cell r="G18">
            <v>44790</v>
          </cell>
          <cell r="H18">
            <v>2008</v>
          </cell>
        </row>
        <row r="19">
          <cell r="A19">
            <v>44638</v>
          </cell>
          <cell r="B19">
            <v>374</v>
          </cell>
          <cell r="D19">
            <v>44638</v>
          </cell>
          <cell r="E19">
            <v>2203</v>
          </cell>
          <cell r="G19">
            <v>44791</v>
          </cell>
          <cell r="H19">
            <v>1459</v>
          </cell>
        </row>
        <row r="20">
          <cell r="A20">
            <v>44639</v>
          </cell>
          <cell r="B20">
            <v>503</v>
          </cell>
          <cell r="D20">
            <v>44639</v>
          </cell>
          <cell r="E20">
            <v>1475</v>
          </cell>
          <cell r="G20">
            <v>44792</v>
          </cell>
          <cell r="H20">
            <v>1060</v>
          </cell>
        </row>
        <row r="21">
          <cell r="A21">
            <v>44640</v>
          </cell>
          <cell r="B21">
            <v>758</v>
          </cell>
          <cell r="D21">
            <v>44640</v>
          </cell>
          <cell r="E21">
            <v>2055</v>
          </cell>
          <cell r="G21">
            <v>44793</v>
          </cell>
          <cell r="H21">
            <v>881</v>
          </cell>
        </row>
        <row r="22">
          <cell r="A22">
            <v>44641</v>
          </cell>
          <cell r="B22">
            <v>895</v>
          </cell>
          <cell r="D22">
            <v>44641</v>
          </cell>
          <cell r="E22">
            <v>2432</v>
          </cell>
          <cell r="G22">
            <v>44794</v>
          </cell>
          <cell r="H22">
            <v>685</v>
          </cell>
        </row>
        <row r="23">
          <cell r="A23">
            <v>44642</v>
          </cell>
          <cell r="B23">
            <v>981</v>
          </cell>
          <cell r="D23">
            <v>44642</v>
          </cell>
          <cell r="E23">
            <v>2775</v>
          </cell>
          <cell r="G23">
            <v>44795</v>
          </cell>
          <cell r="H23">
            <v>676</v>
          </cell>
        </row>
        <row r="24">
          <cell r="A24">
            <v>44643</v>
          </cell>
          <cell r="B24">
            <v>983</v>
          </cell>
          <cell r="D24">
            <v>44643</v>
          </cell>
          <cell r="E24">
            <v>2565</v>
          </cell>
          <cell r="G24">
            <v>44796</v>
          </cell>
          <cell r="H24">
            <v>439</v>
          </cell>
        </row>
        <row r="25">
          <cell r="A25">
            <v>44644</v>
          </cell>
          <cell r="B25">
            <v>1609</v>
          </cell>
          <cell r="D25">
            <v>44644</v>
          </cell>
          <cell r="E25">
            <v>1919</v>
          </cell>
          <cell r="G25">
            <v>44797</v>
          </cell>
          <cell r="H25">
            <v>401</v>
          </cell>
        </row>
        <row r="26">
          <cell r="A26">
            <v>44645</v>
          </cell>
          <cell r="B26">
            <v>2264</v>
          </cell>
          <cell r="D26">
            <v>44645</v>
          </cell>
          <cell r="E26">
            <v>2453</v>
          </cell>
          <cell r="G26">
            <v>44798</v>
          </cell>
          <cell r="H26">
            <v>357</v>
          </cell>
        </row>
        <row r="27">
          <cell r="A27">
            <v>44646</v>
          </cell>
          <cell r="B27">
            <v>2676</v>
          </cell>
          <cell r="D27">
            <v>44646</v>
          </cell>
          <cell r="E27">
            <v>1975</v>
          </cell>
          <cell r="G27">
            <v>44799</v>
          </cell>
          <cell r="H27">
            <v>297</v>
          </cell>
        </row>
        <row r="28">
          <cell r="A28">
            <v>44647</v>
          </cell>
          <cell r="B28">
            <v>3500</v>
          </cell>
          <cell r="D28">
            <v>44647</v>
          </cell>
          <cell r="E28">
            <v>1792</v>
          </cell>
          <cell r="G28">
            <v>44800</v>
          </cell>
          <cell r="H28">
            <v>153</v>
          </cell>
        </row>
        <row r="29">
          <cell r="A29">
            <v>44648</v>
          </cell>
          <cell r="B29">
            <v>4456</v>
          </cell>
          <cell r="D29">
            <v>44648</v>
          </cell>
          <cell r="E29">
            <v>1855</v>
          </cell>
          <cell r="G29">
            <v>44801</v>
          </cell>
          <cell r="H29">
            <v>120</v>
          </cell>
        </row>
        <row r="30">
          <cell r="A30">
            <v>44649</v>
          </cell>
          <cell r="B30">
            <v>5964</v>
          </cell>
          <cell r="D30">
            <v>44649</v>
          </cell>
          <cell r="E30">
            <v>2158</v>
          </cell>
          <cell r="G30">
            <v>44802</v>
          </cell>
          <cell r="H30">
            <v>76</v>
          </cell>
        </row>
        <row r="31">
          <cell r="A31">
            <v>44650</v>
          </cell>
          <cell r="B31">
            <v>5637</v>
          </cell>
          <cell r="D31">
            <v>44650</v>
          </cell>
          <cell r="E31">
            <v>2155</v>
          </cell>
          <cell r="G31">
            <v>44803</v>
          </cell>
          <cell r="H31">
            <v>43</v>
          </cell>
        </row>
        <row r="32">
          <cell r="A32">
            <v>44651</v>
          </cell>
          <cell r="B32">
            <v>4482</v>
          </cell>
          <cell r="D32">
            <v>44651</v>
          </cell>
          <cell r="E32">
            <v>2210</v>
          </cell>
          <cell r="G32">
            <v>44804</v>
          </cell>
          <cell r="H32">
            <v>82</v>
          </cell>
        </row>
        <row r="33">
          <cell r="A33">
            <v>44652</v>
          </cell>
          <cell r="B33">
            <v>6309</v>
          </cell>
          <cell r="D33">
            <v>44652</v>
          </cell>
          <cell r="E33">
            <v>2954</v>
          </cell>
          <cell r="G33">
            <v>44805</v>
          </cell>
          <cell r="H33">
            <v>89</v>
          </cell>
        </row>
        <row r="34">
          <cell r="A34">
            <v>44653</v>
          </cell>
          <cell r="B34">
            <v>8153</v>
          </cell>
          <cell r="D34">
            <v>44653</v>
          </cell>
          <cell r="E34">
            <v>4427</v>
          </cell>
          <cell r="G34">
            <v>44806</v>
          </cell>
          <cell r="H34">
            <v>37</v>
          </cell>
        </row>
        <row r="35">
          <cell r="A35">
            <v>44654</v>
          </cell>
          <cell r="B35">
            <v>8935</v>
          </cell>
          <cell r="D35">
            <v>44654</v>
          </cell>
          <cell r="E35">
            <v>3510</v>
          </cell>
          <cell r="G35">
            <v>44807</v>
          </cell>
          <cell r="H35">
            <v>50</v>
          </cell>
        </row>
        <row r="36">
          <cell r="A36">
            <v>44655</v>
          </cell>
          <cell r="B36">
            <v>13350</v>
          </cell>
          <cell r="D36">
            <v>44655</v>
          </cell>
          <cell r="E36">
            <v>2398</v>
          </cell>
          <cell r="G36">
            <v>44808</v>
          </cell>
          <cell r="H36">
            <v>20</v>
          </cell>
        </row>
        <row r="37">
          <cell r="A37">
            <v>44656</v>
          </cell>
          <cell r="B37">
            <v>17037</v>
          </cell>
          <cell r="D37">
            <v>44656</v>
          </cell>
          <cell r="E37">
            <v>2706</v>
          </cell>
          <cell r="G37">
            <v>44809</v>
          </cell>
          <cell r="H37">
            <v>14</v>
          </cell>
        </row>
        <row r="38">
          <cell r="A38">
            <v>44657</v>
          </cell>
          <cell r="B38">
            <v>19967</v>
          </cell>
          <cell r="D38">
            <v>44657</v>
          </cell>
          <cell r="E38">
            <v>2383</v>
          </cell>
          <cell r="G38">
            <v>44810</v>
          </cell>
          <cell r="H38">
            <v>10</v>
          </cell>
        </row>
        <row r="39">
          <cell r="A39">
            <v>44658</v>
          </cell>
          <cell r="B39">
            <v>20899</v>
          </cell>
          <cell r="D39">
            <v>44658</v>
          </cell>
          <cell r="E39">
            <v>2205</v>
          </cell>
          <cell r="G39">
            <v>44811</v>
          </cell>
          <cell r="H39">
            <v>5</v>
          </cell>
        </row>
        <row r="40">
          <cell r="A40">
            <v>44659</v>
          </cell>
          <cell r="B40">
            <v>23204</v>
          </cell>
          <cell r="D40">
            <v>44659</v>
          </cell>
          <cell r="E40">
            <v>902</v>
          </cell>
          <cell r="G40">
            <v>44812</v>
          </cell>
          <cell r="H40">
            <v>6</v>
          </cell>
        </row>
        <row r="41">
          <cell r="A41">
            <v>44660</v>
          </cell>
          <cell r="B41">
            <v>24752</v>
          </cell>
          <cell r="D41">
            <v>44660</v>
          </cell>
          <cell r="E41">
            <v>907</v>
          </cell>
          <cell r="G41">
            <v>44813</v>
          </cell>
          <cell r="H41">
            <v>5</v>
          </cell>
        </row>
        <row r="42">
          <cell r="A42">
            <v>44661</v>
          </cell>
          <cell r="B42">
            <v>26040</v>
          </cell>
          <cell r="D42">
            <v>44661</v>
          </cell>
          <cell r="E42">
            <v>953</v>
          </cell>
          <cell r="G42">
            <v>44814</v>
          </cell>
          <cell r="H42">
            <v>3</v>
          </cell>
        </row>
        <row r="43">
          <cell r="A43">
            <v>44662</v>
          </cell>
          <cell r="B43">
            <v>23069</v>
          </cell>
          <cell r="D43">
            <v>44662</v>
          </cell>
          <cell r="E43">
            <v>740</v>
          </cell>
          <cell r="G43">
            <v>44815</v>
          </cell>
          <cell r="H43">
            <v>1</v>
          </cell>
        </row>
        <row r="44">
          <cell r="A44">
            <v>44663</v>
          </cell>
          <cell r="B44">
            <v>26307</v>
          </cell>
          <cell r="D44">
            <v>44663</v>
          </cell>
          <cell r="E44">
            <v>988</v>
          </cell>
          <cell r="G44">
            <v>44816</v>
          </cell>
          <cell r="H44">
            <v>2</v>
          </cell>
        </row>
        <row r="45">
          <cell r="A45">
            <v>44664</v>
          </cell>
          <cell r="B45">
            <v>27605</v>
          </cell>
          <cell r="D45">
            <v>44664</v>
          </cell>
          <cell r="E45">
            <v>785</v>
          </cell>
        </row>
        <row r="46">
          <cell r="A46">
            <v>44665</v>
          </cell>
          <cell r="B46">
            <v>22765</v>
          </cell>
          <cell r="D46">
            <v>44665</v>
          </cell>
          <cell r="E46">
            <v>435</v>
          </cell>
        </row>
        <row r="47">
          <cell r="A47">
            <v>44666</v>
          </cell>
          <cell r="B47">
            <v>22591</v>
          </cell>
          <cell r="D47">
            <v>44666</v>
          </cell>
          <cell r="E47">
            <v>575</v>
          </cell>
        </row>
        <row r="48">
          <cell r="A48">
            <v>44667</v>
          </cell>
          <cell r="B48">
            <v>23643</v>
          </cell>
          <cell r="D48">
            <v>44667</v>
          </cell>
          <cell r="E48">
            <v>656</v>
          </cell>
        </row>
        <row r="49">
          <cell r="A49">
            <v>44668</v>
          </cell>
          <cell r="B49">
            <v>21395</v>
          </cell>
          <cell r="D49">
            <v>44668</v>
          </cell>
          <cell r="E49">
            <v>501</v>
          </cell>
        </row>
        <row r="50">
          <cell r="A50">
            <v>44669</v>
          </cell>
          <cell r="B50">
            <v>19442</v>
          </cell>
          <cell r="D50">
            <v>44669</v>
          </cell>
          <cell r="E50">
            <v>446</v>
          </cell>
        </row>
        <row r="51">
          <cell r="A51">
            <v>44670</v>
          </cell>
          <cell r="B51">
            <v>18368</v>
          </cell>
          <cell r="D51">
            <v>44670</v>
          </cell>
          <cell r="E51">
            <v>326</v>
          </cell>
        </row>
        <row r="52">
          <cell r="A52">
            <v>44671</v>
          </cell>
          <cell r="B52">
            <v>18036</v>
          </cell>
          <cell r="D52">
            <v>44671</v>
          </cell>
          <cell r="E52">
            <v>324</v>
          </cell>
        </row>
        <row r="53">
          <cell r="A53">
            <v>44672</v>
          </cell>
          <cell r="B53">
            <v>17486</v>
          </cell>
          <cell r="D53">
            <v>44672</v>
          </cell>
          <cell r="E53">
            <v>282</v>
          </cell>
        </row>
        <row r="54">
          <cell r="A54">
            <v>44673</v>
          </cell>
          <cell r="B54">
            <v>22250</v>
          </cell>
          <cell r="D54">
            <v>44673</v>
          </cell>
          <cell r="E54">
            <v>258</v>
          </cell>
        </row>
        <row r="55">
          <cell r="A55">
            <v>44674</v>
          </cell>
          <cell r="B55">
            <v>20517</v>
          </cell>
          <cell r="D55">
            <v>44674</v>
          </cell>
          <cell r="E55">
            <v>196</v>
          </cell>
        </row>
        <row r="56">
          <cell r="A56">
            <v>44675</v>
          </cell>
          <cell r="B56">
            <v>18609</v>
          </cell>
          <cell r="D56">
            <v>44675</v>
          </cell>
          <cell r="E56">
            <v>147</v>
          </cell>
        </row>
        <row r="57">
          <cell r="A57">
            <v>44676</v>
          </cell>
          <cell r="B57">
            <v>16012</v>
          </cell>
          <cell r="D57">
            <v>44676</v>
          </cell>
          <cell r="E57">
            <v>126</v>
          </cell>
        </row>
        <row r="58">
          <cell r="A58">
            <v>44677</v>
          </cell>
          <cell r="B58">
            <v>12309</v>
          </cell>
          <cell r="D58">
            <v>44677</v>
          </cell>
          <cell r="E58">
            <v>100</v>
          </cell>
        </row>
        <row r="59">
          <cell r="A59">
            <v>44678</v>
          </cell>
          <cell r="B59">
            <v>9764</v>
          </cell>
          <cell r="D59">
            <v>44678</v>
          </cell>
          <cell r="E59">
            <v>127</v>
          </cell>
        </row>
        <row r="60">
          <cell r="A60">
            <v>44679</v>
          </cell>
          <cell r="B60">
            <v>9970</v>
          </cell>
          <cell r="D60">
            <v>44679</v>
          </cell>
          <cell r="E60">
            <v>56</v>
          </cell>
        </row>
        <row r="61">
          <cell r="A61">
            <v>44680</v>
          </cell>
          <cell r="B61">
            <v>9196</v>
          </cell>
          <cell r="D61">
            <v>44680</v>
          </cell>
          <cell r="E61">
            <v>42</v>
          </cell>
        </row>
        <row r="62">
          <cell r="A62">
            <v>44681</v>
          </cell>
          <cell r="B62">
            <v>7189</v>
          </cell>
          <cell r="D62">
            <v>44681</v>
          </cell>
          <cell r="E62">
            <v>31</v>
          </cell>
        </row>
        <row r="63">
          <cell r="A63">
            <v>44682</v>
          </cell>
          <cell r="B63">
            <v>6804</v>
          </cell>
          <cell r="D63">
            <v>44682</v>
          </cell>
          <cell r="E63">
            <v>20</v>
          </cell>
        </row>
        <row r="64">
          <cell r="A64">
            <v>44683</v>
          </cell>
          <cell r="B64">
            <v>5514</v>
          </cell>
          <cell r="D64">
            <v>44683</v>
          </cell>
          <cell r="E64">
            <v>21</v>
          </cell>
        </row>
        <row r="65">
          <cell r="A65">
            <v>44684</v>
          </cell>
          <cell r="B65">
            <v>4831</v>
          </cell>
          <cell r="D65">
            <v>44684</v>
          </cell>
          <cell r="E65">
            <v>40</v>
          </cell>
        </row>
        <row r="66">
          <cell r="A66">
            <v>44685</v>
          </cell>
          <cell r="B66">
            <v>4466</v>
          </cell>
          <cell r="D66">
            <v>44685</v>
          </cell>
          <cell r="E66">
            <v>22</v>
          </cell>
        </row>
        <row r="67">
          <cell r="A67">
            <v>44686</v>
          </cell>
          <cell r="B67">
            <v>4088</v>
          </cell>
          <cell r="D67">
            <v>44686</v>
          </cell>
          <cell r="E67">
            <v>14</v>
          </cell>
        </row>
        <row r="68">
          <cell r="A68">
            <v>44687</v>
          </cell>
          <cell r="B68">
            <v>4039</v>
          </cell>
          <cell r="D68">
            <v>44687</v>
          </cell>
          <cell r="E68">
            <v>23</v>
          </cell>
        </row>
        <row r="69">
          <cell r="A69">
            <v>44688</v>
          </cell>
          <cell r="B69">
            <v>3840</v>
          </cell>
          <cell r="D69">
            <v>44688</v>
          </cell>
          <cell r="E69">
            <v>21</v>
          </cell>
        </row>
        <row r="70">
          <cell r="A70">
            <v>44689</v>
          </cell>
          <cell r="B70">
            <v>3717</v>
          </cell>
          <cell r="D70">
            <v>44689</v>
          </cell>
          <cell r="E70">
            <v>3</v>
          </cell>
        </row>
        <row r="71">
          <cell r="A71">
            <v>44690</v>
          </cell>
          <cell r="B71">
            <v>2858</v>
          </cell>
          <cell r="D71">
            <v>44690</v>
          </cell>
          <cell r="E71">
            <v>6</v>
          </cell>
        </row>
        <row r="72">
          <cell r="A72">
            <v>44691</v>
          </cell>
          <cell r="B72">
            <v>1289</v>
          </cell>
          <cell r="D72">
            <v>44691</v>
          </cell>
          <cell r="E72">
            <v>4</v>
          </cell>
        </row>
        <row r="73">
          <cell r="A73">
            <v>44692</v>
          </cell>
          <cell r="B73">
            <v>1343</v>
          </cell>
          <cell r="D73">
            <v>44692</v>
          </cell>
          <cell r="E73">
            <v>5</v>
          </cell>
        </row>
        <row r="74">
          <cell r="A74">
            <v>44693</v>
          </cell>
          <cell r="B74">
            <v>1929</v>
          </cell>
          <cell r="D74">
            <v>44693</v>
          </cell>
          <cell r="E74">
            <v>0</v>
          </cell>
        </row>
        <row r="75">
          <cell r="A75">
            <v>44694</v>
          </cell>
          <cell r="B75">
            <v>1541</v>
          </cell>
          <cell r="D75">
            <v>44694</v>
          </cell>
          <cell r="E75">
            <v>1</v>
          </cell>
        </row>
        <row r="76">
          <cell r="A76">
            <v>44695</v>
          </cell>
          <cell r="B76">
            <v>1258</v>
          </cell>
          <cell r="D76">
            <v>44695</v>
          </cell>
          <cell r="E76">
            <v>2</v>
          </cell>
        </row>
        <row r="77">
          <cell r="A77">
            <v>44696</v>
          </cell>
          <cell r="B77">
            <v>896</v>
          </cell>
          <cell r="D77">
            <v>44696</v>
          </cell>
          <cell r="E77">
            <v>3</v>
          </cell>
        </row>
        <row r="78">
          <cell r="A78">
            <v>44697</v>
          </cell>
          <cell r="B78">
            <v>777</v>
          </cell>
          <cell r="D78">
            <v>44697</v>
          </cell>
          <cell r="E78">
            <v>11</v>
          </cell>
        </row>
        <row r="79">
          <cell r="A79">
            <v>44698</v>
          </cell>
          <cell r="B79">
            <v>799</v>
          </cell>
          <cell r="D79">
            <v>44698</v>
          </cell>
          <cell r="E79">
            <v>11</v>
          </cell>
        </row>
        <row r="80">
          <cell r="A80">
            <v>44699</v>
          </cell>
          <cell r="B80">
            <v>671</v>
          </cell>
          <cell r="D80">
            <v>44699</v>
          </cell>
          <cell r="E80">
            <v>19</v>
          </cell>
        </row>
        <row r="81">
          <cell r="A81">
            <v>44700</v>
          </cell>
          <cell r="B81">
            <v>787</v>
          </cell>
          <cell r="D81">
            <v>44700</v>
          </cell>
          <cell r="E81">
            <v>11</v>
          </cell>
        </row>
        <row r="82">
          <cell r="A82">
            <v>44701</v>
          </cell>
          <cell r="B82">
            <v>819</v>
          </cell>
          <cell r="D82">
            <v>44701</v>
          </cell>
          <cell r="E82">
            <v>7</v>
          </cell>
        </row>
        <row r="83">
          <cell r="A83">
            <v>44702</v>
          </cell>
          <cell r="B83">
            <v>593</v>
          </cell>
          <cell r="D83">
            <v>44702</v>
          </cell>
          <cell r="E83">
            <v>10</v>
          </cell>
        </row>
        <row r="84">
          <cell r="A84">
            <v>44703</v>
          </cell>
          <cell r="B84">
            <v>528</v>
          </cell>
          <cell r="D84">
            <v>44703</v>
          </cell>
          <cell r="E84">
            <v>5</v>
          </cell>
        </row>
        <row r="85">
          <cell r="A85">
            <v>44704</v>
          </cell>
          <cell r="B85">
            <v>441</v>
          </cell>
          <cell r="D85">
            <v>44704</v>
          </cell>
          <cell r="E85">
            <v>8</v>
          </cell>
        </row>
        <row r="86">
          <cell r="A86">
            <v>44705</v>
          </cell>
          <cell r="B86">
            <v>355</v>
          </cell>
          <cell r="D86">
            <v>44705</v>
          </cell>
          <cell r="E86">
            <v>7</v>
          </cell>
        </row>
        <row r="87">
          <cell r="A87">
            <v>44706</v>
          </cell>
          <cell r="B87">
            <v>307</v>
          </cell>
          <cell r="D87">
            <v>44706</v>
          </cell>
          <cell r="E87">
            <v>6</v>
          </cell>
        </row>
        <row r="88">
          <cell r="A88">
            <v>44707</v>
          </cell>
          <cell r="B88">
            <v>231</v>
          </cell>
          <cell r="D88">
            <v>44707</v>
          </cell>
          <cell r="E88">
            <v>7</v>
          </cell>
        </row>
        <row r="89">
          <cell r="A89">
            <v>44708</v>
          </cell>
          <cell r="B89">
            <v>152</v>
          </cell>
          <cell r="D89">
            <v>44708</v>
          </cell>
          <cell r="E89">
            <v>11</v>
          </cell>
        </row>
        <row r="90">
          <cell r="A90">
            <v>44709</v>
          </cell>
          <cell r="B90">
            <v>104</v>
          </cell>
          <cell r="D90">
            <v>44709</v>
          </cell>
          <cell r="E90">
            <v>10</v>
          </cell>
        </row>
        <row r="91">
          <cell r="A91">
            <v>44710</v>
          </cell>
          <cell r="B91">
            <v>65</v>
          </cell>
          <cell r="D91">
            <v>44710</v>
          </cell>
          <cell r="E91">
            <v>5</v>
          </cell>
        </row>
        <row r="92">
          <cell r="A92">
            <v>44711</v>
          </cell>
          <cell r="B92">
            <v>29</v>
          </cell>
          <cell r="D92">
            <v>44711</v>
          </cell>
          <cell r="E92">
            <v>8</v>
          </cell>
        </row>
        <row r="93">
          <cell r="A93">
            <v>44712</v>
          </cell>
          <cell r="B93">
            <v>14</v>
          </cell>
          <cell r="D93">
            <v>44712</v>
          </cell>
          <cell r="E93">
            <v>7</v>
          </cell>
        </row>
        <row r="94">
          <cell r="A94">
            <v>44713</v>
          </cell>
          <cell r="B94">
            <v>10</v>
          </cell>
          <cell r="D94">
            <v>44713</v>
          </cell>
          <cell r="E94">
            <v>0</v>
          </cell>
        </row>
        <row r="95">
          <cell r="A95">
            <v>44714</v>
          </cell>
          <cell r="B95">
            <v>14</v>
          </cell>
          <cell r="D95">
            <v>44714</v>
          </cell>
          <cell r="E95">
            <v>5</v>
          </cell>
        </row>
        <row r="96">
          <cell r="A96">
            <v>44715</v>
          </cell>
          <cell r="B96">
            <v>12</v>
          </cell>
          <cell r="D96">
            <v>44715</v>
          </cell>
          <cell r="E96">
            <v>5</v>
          </cell>
        </row>
        <row r="97">
          <cell r="A97">
            <v>44716</v>
          </cell>
          <cell r="B97">
            <v>21</v>
          </cell>
          <cell r="D97">
            <v>44716</v>
          </cell>
          <cell r="E97">
            <v>1</v>
          </cell>
        </row>
        <row r="98">
          <cell r="A98">
            <v>44717</v>
          </cell>
          <cell r="B98">
            <v>8</v>
          </cell>
          <cell r="D98">
            <v>44717</v>
          </cell>
          <cell r="E98">
            <v>2</v>
          </cell>
        </row>
        <row r="99">
          <cell r="A99">
            <v>44718</v>
          </cell>
          <cell r="B99">
            <v>10</v>
          </cell>
          <cell r="D99">
            <v>44718</v>
          </cell>
          <cell r="E99">
            <v>4</v>
          </cell>
        </row>
        <row r="100">
          <cell r="A100">
            <v>44719</v>
          </cell>
          <cell r="B100">
            <v>15</v>
          </cell>
          <cell r="D100">
            <v>44719</v>
          </cell>
          <cell r="E100">
            <v>3</v>
          </cell>
        </row>
        <row r="101">
          <cell r="A101">
            <v>44720</v>
          </cell>
          <cell r="B101">
            <v>9</v>
          </cell>
          <cell r="D101">
            <v>44720</v>
          </cell>
          <cell r="E101">
            <v>5</v>
          </cell>
        </row>
        <row r="102">
          <cell r="A102">
            <v>44721</v>
          </cell>
          <cell r="B102">
            <v>11</v>
          </cell>
          <cell r="D102">
            <v>44721</v>
          </cell>
          <cell r="E102">
            <v>7</v>
          </cell>
        </row>
        <row r="103">
          <cell r="A103">
            <v>44722</v>
          </cell>
          <cell r="B103">
            <v>16</v>
          </cell>
          <cell r="D103">
            <v>44722</v>
          </cell>
          <cell r="E103">
            <v>3</v>
          </cell>
        </row>
        <row r="104">
          <cell r="A104">
            <v>44723</v>
          </cell>
          <cell r="B104">
            <v>29</v>
          </cell>
          <cell r="D104">
            <v>44723</v>
          </cell>
          <cell r="E104">
            <v>1</v>
          </cell>
        </row>
        <row r="105">
          <cell r="A105">
            <v>44724</v>
          </cell>
          <cell r="B105">
            <v>36</v>
          </cell>
          <cell r="D105">
            <v>44724</v>
          </cell>
          <cell r="E105">
            <v>4</v>
          </cell>
        </row>
        <row r="106">
          <cell r="A106">
            <v>44725</v>
          </cell>
          <cell r="B106">
            <v>17</v>
          </cell>
          <cell r="D106">
            <v>44725</v>
          </cell>
        </row>
        <row r="107">
          <cell r="A107">
            <v>44726</v>
          </cell>
          <cell r="B107">
            <v>14</v>
          </cell>
          <cell r="D107">
            <v>44726</v>
          </cell>
          <cell r="E107">
            <v>6</v>
          </cell>
        </row>
        <row r="108">
          <cell r="A108">
            <v>44727</v>
          </cell>
          <cell r="B108">
            <v>16</v>
          </cell>
          <cell r="D108">
            <v>44727</v>
          </cell>
          <cell r="E108">
            <v>2</v>
          </cell>
        </row>
        <row r="109">
          <cell r="A109">
            <v>44728</v>
          </cell>
          <cell r="B109">
            <v>4</v>
          </cell>
          <cell r="D109">
            <v>44728</v>
          </cell>
          <cell r="E109">
            <v>6</v>
          </cell>
        </row>
        <row r="110">
          <cell r="A110">
            <v>44729</v>
          </cell>
          <cell r="B110">
            <v>7</v>
          </cell>
          <cell r="D110">
            <v>44729</v>
          </cell>
          <cell r="E110">
            <v>4</v>
          </cell>
        </row>
        <row r="111">
          <cell r="A111">
            <v>44730</v>
          </cell>
          <cell r="B111">
            <v>9</v>
          </cell>
          <cell r="D111">
            <v>44730</v>
          </cell>
          <cell r="E111">
            <v>3</v>
          </cell>
        </row>
        <row r="112">
          <cell r="A112">
            <v>44731</v>
          </cell>
          <cell r="B112">
            <v>13</v>
          </cell>
          <cell r="D112">
            <v>44731</v>
          </cell>
          <cell r="E112">
            <v>1</v>
          </cell>
        </row>
        <row r="113">
          <cell r="A113">
            <v>44732</v>
          </cell>
          <cell r="B113">
            <v>9</v>
          </cell>
          <cell r="D113">
            <v>44732</v>
          </cell>
          <cell r="E113">
            <v>10</v>
          </cell>
        </row>
        <row r="114">
          <cell r="A114">
            <v>44733</v>
          </cell>
          <cell r="B114">
            <v>8</v>
          </cell>
          <cell r="D114">
            <v>44733</v>
          </cell>
        </row>
        <row r="115">
          <cell r="A115">
            <v>44734</v>
          </cell>
          <cell r="B115">
            <v>9</v>
          </cell>
          <cell r="D115">
            <v>44734</v>
          </cell>
          <cell r="E115">
            <v>7</v>
          </cell>
        </row>
        <row r="116">
          <cell r="A116">
            <v>44735</v>
          </cell>
          <cell r="B116">
            <v>3</v>
          </cell>
          <cell r="D116">
            <v>44735</v>
          </cell>
          <cell r="E116">
            <v>8</v>
          </cell>
        </row>
        <row r="117">
          <cell r="A117">
            <v>44736</v>
          </cell>
          <cell r="D117">
            <v>44736</v>
          </cell>
          <cell r="E117">
            <v>1</v>
          </cell>
        </row>
        <row r="118">
          <cell r="A118">
            <v>44737</v>
          </cell>
        </row>
        <row r="119">
          <cell r="A119">
            <v>44738</v>
          </cell>
          <cell r="B119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15"/>
  <sheetViews>
    <sheetView tabSelected="1" workbookViewId="0">
      <pane ySplit="1" topLeftCell="A958" activePane="bottomLeft" state="frozen"/>
      <selection pane="bottomLeft" activeCell="Y958" sqref="Y958"/>
    </sheetView>
  </sheetViews>
  <sheetFormatPr defaultColWidth="8.6640625" defaultRowHeight="13.8" x14ac:dyDescent="0.25"/>
  <cols>
    <col min="1" max="1" width="13.109375" style="1" customWidth="1"/>
    <col min="2" max="2" width="7.21875" style="1" customWidth="1"/>
    <col min="3" max="3" width="6.88671875" style="1" customWidth="1"/>
    <col min="4" max="4" width="6.77734375" style="1" customWidth="1"/>
    <col min="5" max="5" width="8.6640625" style="1"/>
    <col min="6" max="7" width="6.6640625" style="1" customWidth="1"/>
    <col min="8" max="8" width="7.21875" style="1" customWidth="1"/>
    <col min="9" max="9" width="7" style="1" customWidth="1"/>
    <col min="10" max="11" width="6.88671875" style="1" customWidth="1"/>
    <col min="12" max="12" width="6.109375" style="1" customWidth="1"/>
    <col min="13" max="13" width="6.109375" style="18" customWidth="1"/>
    <col min="14" max="14" width="5.44140625" style="1" customWidth="1"/>
    <col min="15" max="15" width="6.109375" style="1" customWidth="1"/>
    <col min="16" max="16" width="6.6640625" style="1" customWidth="1"/>
    <col min="17" max="17" width="7" style="1" customWidth="1"/>
    <col min="18" max="18" width="5.88671875" style="1" customWidth="1"/>
    <col min="19" max="19" width="5.88671875" style="18" customWidth="1"/>
    <col min="20" max="20" width="6.77734375" style="1" customWidth="1"/>
    <col min="21" max="21" width="6.88671875" style="1" customWidth="1"/>
    <col min="22" max="22" width="8.6640625" style="1"/>
    <col min="23" max="23" width="6.6640625" style="1" customWidth="1"/>
    <col min="24" max="24" width="6.77734375" style="1" customWidth="1"/>
    <col min="25" max="25" width="6.77734375" style="18" customWidth="1"/>
    <col min="26" max="26" width="8" style="1" customWidth="1"/>
    <col min="27" max="27" width="6.88671875" style="1" customWidth="1"/>
    <col min="28" max="29" width="7" style="1" customWidth="1"/>
    <col min="30" max="30" width="7.33203125" style="1" customWidth="1"/>
    <col min="31" max="31" width="7.33203125" style="18" customWidth="1"/>
    <col min="32" max="32" width="6.88671875" style="1" customWidth="1"/>
    <col min="33" max="33" width="7" style="1" customWidth="1"/>
    <col min="34" max="34" width="7.33203125" style="1" customWidth="1"/>
    <col min="35" max="35" width="6.88671875" style="1" customWidth="1"/>
    <col min="36" max="38" width="7.21875" style="1" customWidth="1"/>
    <col min="39" max="39" width="21" style="1" customWidth="1"/>
    <col min="40" max="16384" width="8.6640625" style="1"/>
  </cols>
  <sheetData>
    <row r="1" spans="1:100" x14ac:dyDescent="0.25">
      <c r="A1" s="70" t="s">
        <v>60</v>
      </c>
      <c r="B1" s="62" t="s">
        <v>35</v>
      </c>
      <c r="C1" s="63" t="s">
        <v>36</v>
      </c>
      <c r="D1" s="63" t="s">
        <v>38</v>
      </c>
      <c r="E1" s="63" t="s">
        <v>37</v>
      </c>
      <c r="F1" s="63" t="s">
        <v>39</v>
      </c>
      <c r="G1" s="17">
        <v>34</v>
      </c>
      <c r="H1" s="66" t="s">
        <v>48</v>
      </c>
      <c r="I1" s="66" t="s">
        <v>49</v>
      </c>
      <c r="J1" s="66" t="s">
        <v>51</v>
      </c>
      <c r="K1" s="66" t="s">
        <v>50</v>
      </c>
      <c r="L1" s="66" t="s">
        <v>52</v>
      </c>
      <c r="M1" s="17">
        <v>33</v>
      </c>
      <c r="N1" s="65" t="s">
        <v>44</v>
      </c>
      <c r="O1" s="65" t="s">
        <v>61</v>
      </c>
      <c r="P1" s="65" t="s">
        <v>45</v>
      </c>
      <c r="Q1" s="65" t="s">
        <v>46</v>
      </c>
      <c r="R1" s="65" t="s">
        <v>47</v>
      </c>
      <c r="S1" s="17">
        <v>33</v>
      </c>
      <c r="T1" s="68" t="s">
        <v>55</v>
      </c>
      <c r="U1" s="68" t="s">
        <v>56</v>
      </c>
      <c r="V1" s="69" t="s">
        <v>57</v>
      </c>
      <c r="W1" s="68" t="s">
        <v>58</v>
      </c>
      <c r="X1" s="68" t="s">
        <v>59</v>
      </c>
      <c r="Y1" s="17">
        <v>39</v>
      </c>
      <c r="Z1" s="61" t="s">
        <v>30</v>
      </c>
      <c r="AA1" s="61" t="s">
        <v>31</v>
      </c>
      <c r="AB1" s="61" t="s">
        <v>32</v>
      </c>
      <c r="AC1" s="61" t="s">
        <v>33</v>
      </c>
      <c r="AD1" s="61" t="s">
        <v>34</v>
      </c>
      <c r="AE1" s="17">
        <v>32</v>
      </c>
      <c r="AF1" s="64" t="s">
        <v>43</v>
      </c>
      <c r="AG1" s="64" t="s">
        <v>42</v>
      </c>
      <c r="AH1" s="64" t="s">
        <v>41</v>
      </c>
      <c r="AI1" s="64" t="s">
        <v>40</v>
      </c>
      <c r="AJ1" s="64" t="s">
        <v>53</v>
      </c>
      <c r="AK1" s="67" t="s">
        <v>54</v>
      </c>
      <c r="AL1" s="67">
        <v>39</v>
      </c>
      <c r="AM1" s="70" t="s">
        <v>62</v>
      </c>
      <c r="AN1" s="2" t="s">
        <v>0</v>
      </c>
      <c r="AO1" s="3" t="s">
        <v>1</v>
      </c>
      <c r="AP1" s="3" t="s">
        <v>2</v>
      </c>
      <c r="AQ1" s="3" t="s">
        <v>3</v>
      </c>
      <c r="AR1" s="3" t="s">
        <v>4</v>
      </c>
      <c r="AS1" s="3" t="s">
        <v>5</v>
      </c>
      <c r="AT1" s="3" t="s">
        <v>6</v>
      </c>
      <c r="AU1" s="3" t="s">
        <v>7</v>
      </c>
      <c r="AV1" s="3" t="s">
        <v>8</v>
      </c>
      <c r="AW1" s="3" t="s">
        <v>9</v>
      </c>
      <c r="AX1" s="3" t="s">
        <v>10</v>
      </c>
      <c r="AY1" s="3" t="s">
        <v>11</v>
      </c>
      <c r="AZ1" s="3" t="s">
        <v>12</v>
      </c>
      <c r="BA1" s="3" t="s">
        <v>13</v>
      </c>
      <c r="BB1" s="3" t="s">
        <v>14</v>
      </c>
      <c r="BC1" s="3" t="s">
        <v>15</v>
      </c>
      <c r="BD1" s="3" t="s">
        <v>16</v>
      </c>
      <c r="BE1" s="6" t="s">
        <v>17</v>
      </c>
      <c r="BF1" s="3" t="s">
        <v>18</v>
      </c>
      <c r="BG1" s="3" t="s">
        <v>19</v>
      </c>
      <c r="BH1" s="3" t="s">
        <v>20</v>
      </c>
      <c r="BI1" s="3" t="s">
        <v>21</v>
      </c>
      <c r="BJ1" s="3" t="s">
        <v>22</v>
      </c>
      <c r="BK1" s="3" t="s">
        <v>23</v>
      </c>
      <c r="BL1" s="3" t="s">
        <v>24</v>
      </c>
      <c r="BM1" s="3" t="s">
        <v>25</v>
      </c>
      <c r="BN1" s="3" t="s">
        <v>26</v>
      </c>
      <c r="BO1" s="3" t="s">
        <v>27</v>
      </c>
      <c r="BP1" s="3" t="s">
        <v>28</v>
      </c>
      <c r="BQ1" s="3" t="s">
        <v>29</v>
      </c>
      <c r="BS1" s="2" t="s">
        <v>0</v>
      </c>
      <c r="BT1" s="3" t="s">
        <v>1</v>
      </c>
      <c r="BU1" s="3" t="s">
        <v>2</v>
      </c>
      <c r="BV1" s="3" t="s">
        <v>3</v>
      </c>
      <c r="BW1" s="3" t="s">
        <v>4</v>
      </c>
      <c r="BX1" s="3" t="s">
        <v>5</v>
      </c>
      <c r="BY1" s="3" t="s">
        <v>6</v>
      </c>
      <c r="BZ1" s="3" t="s">
        <v>7</v>
      </c>
      <c r="CA1" s="3" t="s">
        <v>8</v>
      </c>
      <c r="CB1" s="3" t="s">
        <v>9</v>
      </c>
      <c r="CC1" s="3" t="s">
        <v>10</v>
      </c>
      <c r="CD1" s="3" t="s">
        <v>11</v>
      </c>
      <c r="CE1" s="3" t="s">
        <v>12</v>
      </c>
      <c r="CF1" s="3" t="s">
        <v>13</v>
      </c>
      <c r="CG1" s="3" t="s">
        <v>14</v>
      </c>
      <c r="CH1" s="3" t="s">
        <v>15</v>
      </c>
      <c r="CI1" s="3" t="s">
        <v>16</v>
      </c>
      <c r="CJ1" s="6" t="s">
        <v>17</v>
      </c>
      <c r="CK1" s="3" t="s">
        <v>18</v>
      </c>
      <c r="CL1" s="3" t="s">
        <v>19</v>
      </c>
      <c r="CM1" s="3" t="s">
        <v>20</v>
      </c>
      <c r="CN1" s="3" t="s">
        <v>21</v>
      </c>
      <c r="CO1" s="3" t="s">
        <v>22</v>
      </c>
      <c r="CP1" s="3" t="s">
        <v>23</v>
      </c>
      <c r="CQ1" s="3" t="s">
        <v>24</v>
      </c>
      <c r="CR1" s="3" t="s">
        <v>25</v>
      </c>
      <c r="CS1" s="3" t="s">
        <v>26</v>
      </c>
      <c r="CT1" s="3" t="s">
        <v>27</v>
      </c>
      <c r="CU1" s="3" t="s">
        <v>28</v>
      </c>
      <c r="CV1" s="3" t="s">
        <v>29</v>
      </c>
    </row>
    <row r="2" spans="1:100" x14ac:dyDescent="0.25">
      <c r="A2" s="4">
        <v>43852</v>
      </c>
      <c r="B2" s="5">
        <v>1</v>
      </c>
      <c r="C2" s="5">
        <v>14</v>
      </c>
      <c r="D2" s="5">
        <v>4</v>
      </c>
      <c r="E2" s="5">
        <v>9</v>
      </c>
      <c r="F2" s="5">
        <v>6</v>
      </c>
      <c r="H2" s="5">
        <v>1</v>
      </c>
      <c r="I2" s="5">
        <v>1</v>
      </c>
      <c r="J2" s="5">
        <v>26</v>
      </c>
      <c r="K2" s="5">
        <v>2</v>
      </c>
      <c r="L2" s="5">
        <v>1</v>
      </c>
      <c r="O2" s="5">
        <v>4</v>
      </c>
      <c r="P2" s="5">
        <v>5</v>
      </c>
      <c r="R2" s="5">
        <v>4</v>
      </c>
      <c r="T2" s="5">
        <v>1</v>
      </c>
      <c r="U2" s="5">
        <v>2</v>
      </c>
      <c r="W2" s="5">
        <v>2</v>
      </c>
      <c r="X2" s="5">
        <v>1</v>
      </c>
      <c r="AB2" s="51">
        <v>2</v>
      </c>
      <c r="AC2" s="51">
        <v>1</v>
      </c>
      <c r="AF2" s="51">
        <v>5</v>
      </c>
      <c r="AH2" s="51">
        <v>1</v>
      </c>
      <c r="AI2" s="51">
        <v>10</v>
      </c>
      <c r="AJ2" s="51">
        <v>444</v>
      </c>
      <c r="AN2" s="1">
        <v>29</v>
      </c>
      <c r="AO2" s="1">
        <v>53</v>
      </c>
      <c r="AP2" s="1">
        <v>32</v>
      </c>
      <c r="AQ2" s="1">
        <v>36</v>
      </c>
      <c r="AR2" s="1">
        <v>34</v>
      </c>
      <c r="AS2" s="1">
        <v>32</v>
      </c>
      <c r="AT2" s="1">
        <v>29</v>
      </c>
      <c r="AU2" s="1">
        <v>45</v>
      </c>
      <c r="AV2" s="1">
        <v>35</v>
      </c>
      <c r="AW2" s="1">
        <v>27</v>
      </c>
      <c r="AY2" s="1">
        <v>29</v>
      </c>
      <c r="AZ2" s="1">
        <v>37</v>
      </c>
      <c r="BB2" s="1">
        <v>39</v>
      </c>
      <c r="BC2" s="1">
        <v>38</v>
      </c>
      <c r="BD2" s="1">
        <v>29</v>
      </c>
      <c r="BF2" s="1">
        <v>26</v>
      </c>
      <c r="BG2" s="1">
        <v>29</v>
      </c>
      <c r="BJ2" s="1">
        <v>35</v>
      </c>
      <c r="BK2" s="1">
        <v>34</v>
      </c>
      <c r="BM2" s="1">
        <v>38</v>
      </c>
      <c r="BO2" s="1">
        <v>31</v>
      </c>
      <c r="BP2" s="1">
        <v>32</v>
      </c>
      <c r="BQ2" s="1">
        <v>57</v>
      </c>
    </row>
    <row r="3" spans="1:100" x14ac:dyDescent="0.25">
      <c r="A3" s="4">
        <v>43853</v>
      </c>
      <c r="B3" s="5">
        <v>4</v>
      </c>
      <c r="C3" s="5">
        <v>8</v>
      </c>
      <c r="D3" s="5">
        <v>0</v>
      </c>
      <c r="E3" s="5">
        <v>7</v>
      </c>
      <c r="F3" s="5">
        <v>3</v>
      </c>
      <c r="H3" s="5">
        <v>8</v>
      </c>
      <c r="I3" s="5">
        <v>4</v>
      </c>
      <c r="J3" s="5">
        <v>6</v>
      </c>
      <c r="K3" s="5">
        <v>3</v>
      </c>
      <c r="L3" s="5">
        <v>2</v>
      </c>
      <c r="N3" s="5">
        <v>2</v>
      </c>
      <c r="O3" s="5">
        <v>1</v>
      </c>
      <c r="P3" s="5">
        <v>0</v>
      </c>
      <c r="Q3" s="5">
        <v>2</v>
      </c>
      <c r="R3" s="5">
        <v>5</v>
      </c>
      <c r="T3" s="5">
        <v>0</v>
      </c>
      <c r="U3" s="5">
        <v>5</v>
      </c>
      <c r="V3" s="5">
        <v>1</v>
      </c>
      <c r="W3" s="5">
        <v>1</v>
      </c>
      <c r="X3" s="5">
        <v>0</v>
      </c>
      <c r="AB3" s="51">
        <v>4</v>
      </c>
      <c r="AC3" s="51">
        <v>0</v>
      </c>
      <c r="AD3" s="51">
        <v>3</v>
      </c>
      <c r="AF3" s="51">
        <v>3</v>
      </c>
      <c r="AG3" s="51">
        <v>2</v>
      </c>
      <c r="AH3" s="51">
        <v>1</v>
      </c>
      <c r="AI3" s="51">
        <v>17</v>
      </c>
      <c r="AJ3" s="51">
        <v>0</v>
      </c>
      <c r="AN3" s="1">
        <v>29</v>
      </c>
      <c r="AO3" s="1">
        <v>53</v>
      </c>
      <c r="AP3" s="1">
        <v>32</v>
      </c>
      <c r="AQ3" s="1">
        <v>36</v>
      </c>
      <c r="AR3" s="1">
        <v>34</v>
      </c>
      <c r="AS3" s="1">
        <v>32</v>
      </c>
      <c r="AT3" s="1">
        <v>29</v>
      </c>
      <c r="AU3" s="1">
        <v>45</v>
      </c>
      <c r="AV3" s="1">
        <v>35</v>
      </c>
      <c r="AW3" s="1">
        <v>27</v>
      </c>
      <c r="AX3" s="1">
        <v>26</v>
      </c>
      <c r="AY3" s="1">
        <v>29</v>
      </c>
      <c r="AZ3" s="1">
        <v>37</v>
      </c>
      <c r="BA3" s="1">
        <v>32</v>
      </c>
      <c r="BB3" s="1">
        <v>39</v>
      </c>
      <c r="BC3" s="1">
        <v>38</v>
      </c>
      <c r="BD3" s="1">
        <v>29</v>
      </c>
      <c r="BE3" s="1">
        <v>33</v>
      </c>
      <c r="BF3" s="1">
        <v>26</v>
      </c>
      <c r="BG3" s="1">
        <v>29</v>
      </c>
      <c r="BJ3" s="1">
        <v>35</v>
      </c>
      <c r="BK3" s="1">
        <v>34</v>
      </c>
      <c r="BL3" s="1">
        <v>29</v>
      </c>
      <c r="BM3" s="1">
        <v>38</v>
      </c>
      <c r="BN3" s="1">
        <v>30</v>
      </c>
      <c r="BO3" s="1">
        <v>31</v>
      </c>
      <c r="BP3" s="1">
        <v>32</v>
      </c>
      <c r="BQ3" s="1">
        <v>57</v>
      </c>
    </row>
    <row r="4" spans="1:100" x14ac:dyDescent="0.25">
      <c r="A4" s="4">
        <v>43854</v>
      </c>
      <c r="B4" s="5">
        <v>4</v>
      </c>
      <c r="C4" s="5">
        <v>14</v>
      </c>
      <c r="D4" s="5">
        <v>4</v>
      </c>
      <c r="E4" s="5">
        <v>4</v>
      </c>
      <c r="F4" s="5">
        <v>18</v>
      </c>
      <c r="H4" s="5">
        <v>6</v>
      </c>
      <c r="I4" s="5">
        <v>5</v>
      </c>
      <c r="J4" s="5">
        <v>21</v>
      </c>
      <c r="K4" s="5">
        <v>18</v>
      </c>
      <c r="L4" s="5">
        <v>0</v>
      </c>
      <c r="N4" s="5">
        <v>0</v>
      </c>
      <c r="O4" s="5">
        <v>3</v>
      </c>
      <c r="P4" s="5">
        <v>4</v>
      </c>
      <c r="Q4" s="5">
        <v>2</v>
      </c>
      <c r="R4" s="5">
        <v>15</v>
      </c>
      <c r="T4" s="5">
        <v>1</v>
      </c>
      <c r="U4" s="5">
        <v>11</v>
      </c>
      <c r="V4" s="5">
        <v>2</v>
      </c>
      <c r="W4" s="5">
        <v>1</v>
      </c>
      <c r="X4" s="5">
        <v>1</v>
      </c>
      <c r="Z4" s="51">
        <v>1</v>
      </c>
      <c r="AB4" s="51">
        <v>9</v>
      </c>
      <c r="AC4" s="51">
        <v>0</v>
      </c>
      <c r="AD4" s="51">
        <v>2</v>
      </c>
      <c r="AF4" s="51">
        <v>7</v>
      </c>
      <c r="AG4" s="51">
        <v>0</v>
      </c>
      <c r="AH4" s="51">
        <v>3</v>
      </c>
      <c r="AI4" s="51">
        <v>16</v>
      </c>
      <c r="AJ4" s="51">
        <v>105</v>
      </c>
      <c r="AN4" s="1">
        <v>29</v>
      </c>
      <c r="AO4" s="1">
        <v>53</v>
      </c>
      <c r="AP4" s="1">
        <v>32</v>
      </c>
      <c r="AQ4" s="1">
        <v>36</v>
      </c>
      <c r="AR4" s="1">
        <v>34</v>
      </c>
      <c r="AS4" s="1">
        <v>32</v>
      </c>
      <c r="AT4" s="1">
        <v>29</v>
      </c>
      <c r="AU4" s="1">
        <v>45</v>
      </c>
      <c r="AV4" s="1">
        <v>35</v>
      </c>
      <c r="AW4" s="1">
        <v>27</v>
      </c>
      <c r="AX4" s="1">
        <v>26</v>
      </c>
      <c r="AY4" s="1">
        <v>29</v>
      </c>
      <c r="AZ4" s="1">
        <v>37</v>
      </c>
      <c r="BA4" s="1">
        <v>32</v>
      </c>
      <c r="BB4" s="1">
        <v>39</v>
      </c>
      <c r="BC4" s="1">
        <v>38</v>
      </c>
      <c r="BD4" s="1">
        <v>29</v>
      </c>
      <c r="BE4" s="1">
        <v>33</v>
      </c>
      <c r="BF4" s="1">
        <v>26</v>
      </c>
      <c r="BG4" s="1">
        <v>29</v>
      </c>
      <c r="BH4" s="1">
        <v>27</v>
      </c>
      <c r="BJ4" s="1">
        <v>35</v>
      </c>
      <c r="BK4" s="1">
        <v>34</v>
      </c>
      <c r="BL4" s="1">
        <v>29</v>
      </c>
      <c r="BM4" s="1">
        <v>38</v>
      </c>
      <c r="BN4" s="1">
        <v>30</v>
      </c>
      <c r="BO4" s="1">
        <v>31</v>
      </c>
      <c r="BP4" s="1">
        <v>32</v>
      </c>
      <c r="BQ4" s="1">
        <v>57</v>
      </c>
    </row>
    <row r="5" spans="1:100" x14ac:dyDescent="0.25">
      <c r="A5" s="4">
        <v>43855</v>
      </c>
      <c r="B5" s="5">
        <v>9</v>
      </c>
      <c r="C5" s="5">
        <v>5</v>
      </c>
      <c r="D5" s="5">
        <v>2</v>
      </c>
      <c r="E5" s="5">
        <v>13</v>
      </c>
      <c r="F5" s="5">
        <v>30</v>
      </c>
      <c r="H5" s="5">
        <v>24</v>
      </c>
      <c r="I5" s="5">
        <v>8</v>
      </c>
      <c r="J5" s="5">
        <v>25</v>
      </c>
      <c r="K5" s="5">
        <v>0</v>
      </c>
      <c r="L5" s="5">
        <v>1</v>
      </c>
      <c r="N5" s="5">
        <v>2</v>
      </c>
      <c r="O5" s="5">
        <v>11</v>
      </c>
      <c r="P5" s="5">
        <v>23</v>
      </c>
      <c r="Q5" s="5">
        <v>5</v>
      </c>
      <c r="R5" s="5">
        <v>19</v>
      </c>
      <c r="T5" s="5">
        <v>6</v>
      </c>
      <c r="U5" s="5">
        <v>0</v>
      </c>
      <c r="V5" s="5">
        <v>1</v>
      </c>
      <c r="W5" s="5">
        <v>13</v>
      </c>
      <c r="X5" s="5">
        <v>1</v>
      </c>
      <c r="Z5" s="51">
        <v>6</v>
      </c>
      <c r="AA5" s="51">
        <v>1</v>
      </c>
      <c r="AB5" s="51">
        <v>12</v>
      </c>
      <c r="AC5" s="51">
        <v>5</v>
      </c>
      <c r="AD5" s="51">
        <v>10</v>
      </c>
      <c r="AF5" s="51">
        <v>13</v>
      </c>
      <c r="AG5" s="51">
        <v>1</v>
      </c>
      <c r="AH5" s="51">
        <v>6</v>
      </c>
      <c r="AI5" s="51">
        <v>19</v>
      </c>
      <c r="AJ5" s="51">
        <v>212</v>
      </c>
      <c r="AN5" s="1">
        <v>29</v>
      </c>
      <c r="AO5" s="1">
        <v>53</v>
      </c>
      <c r="AP5" s="1">
        <v>32</v>
      </c>
      <c r="AQ5" s="1">
        <v>36</v>
      </c>
      <c r="AR5" s="1">
        <v>34</v>
      </c>
      <c r="AS5" s="1">
        <v>32</v>
      </c>
      <c r="AT5" s="1">
        <v>29</v>
      </c>
      <c r="AU5" s="1">
        <v>45</v>
      </c>
      <c r="AV5" s="1">
        <v>35</v>
      </c>
      <c r="AW5" s="1">
        <v>27</v>
      </c>
      <c r="AX5" s="1">
        <v>26</v>
      </c>
      <c r="AY5" s="1">
        <v>29</v>
      </c>
      <c r="AZ5" s="1">
        <v>37</v>
      </c>
      <c r="BA5" s="1">
        <v>32</v>
      </c>
      <c r="BB5" s="1">
        <v>39</v>
      </c>
      <c r="BC5" s="1">
        <v>38</v>
      </c>
      <c r="BD5" s="1">
        <v>29</v>
      </c>
      <c r="BE5" s="1">
        <v>33</v>
      </c>
      <c r="BF5" s="1">
        <v>26</v>
      </c>
      <c r="BG5" s="1">
        <v>29</v>
      </c>
      <c r="BH5" s="1">
        <v>27</v>
      </c>
      <c r="BI5" s="1">
        <v>13</v>
      </c>
      <c r="BJ5" s="1">
        <v>35</v>
      </c>
      <c r="BK5" s="1">
        <v>34</v>
      </c>
      <c r="BL5" s="1">
        <v>29</v>
      </c>
      <c r="BM5" s="1">
        <v>38</v>
      </c>
      <c r="BN5" s="1">
        <v>30</v>
      </c>
      <c r="BO5" s="1">
        <v>31</v>
      </c>
      <c r="BP5" s="1">
        <v>32</v>
      </c>
      <c r="BQ5" s="1">
        <v>57</v>
      </c>
    </row>
    <row r="6" spans="1:100" x14ac:dyDescent="0.25">
      <c r="A6" s="4">
        <v>43856</v>
      </c>
      <c r="B6" s="5">
        <v>15</v>
      </c>
      <c r="C6" s="5">
        <v>27</v>
      </c>
      <c r="D6" s="5">
        <v>4</v>
      </c>
      <c r="E6" s="5">
        <v>7</v>
      </c>
      <c r="F6" s="5">
        <v>18</v>
      </c>
      <c r="H6" s="5">
        <v>21</v>
      </c>
      <c r="I6" s="5">
        <v>17</v>
      </c>
      <c r="J6" s="5">
        <v>33</v>
      </c>
      <c r="K6" s="5">
        <v>13</v>
      </c>
      <c r="L6" s="5">
        <v>1</v>
      </c>
      <c r="N6" s="5">
        <v>3</v>
      </c>
      <c r="O6" s="5">
        <v>3</v>
      </c>
      <c r="P6" s="5">
        <v>51</v>
      </c>
      <c r="Q6" s="5">
        <v>6</v>
      </c>
      <c r="R6" s="5">
        <v>26</v>
      </c>
      <c r="T6" s="5">
        <v>5</v>
      </c>
      <c r="U6" s="5">
        <v>18</v>
      </c>
      <c r="V6" s="5">
        <v>0</v>
      </c>
      <c r="W6" s="5">
        <v>4</v>
      </c>
      <c r="X6" s="5">
        <v>1</v>
      </c>
      <c r="Z6" s="51">
        <v>0</v>
      </c>
      <c r="AA6" s="51">
        <v>0</v>
      </c>
      <c r="AB6" s="51">
        <v>19</v>
      </c>
      <c r="AC6" s="51">
        <v>3</v>
      </c>
      <c r="AD6" s="51">
        <v>7</v>
      </c>
      <c r="AF6" s="51">
        <v>16</v>
      </c>
      <c r="AG6" s="51">
        <v>1</v>
      </c>
      <c r="AH6" s="51">
        <v>5</v>
      </c>
      <c r="AI6" s="51">
        <v>42</v>
      </c>
      <c r="AJ6" s="51">
        <v>297</v>
      </c>
      <c r="AN6" s="1">
        <v>29</v>
      </c>
      <c r="AO6" s="1">
        <v>53</v>
      </c>
      <c r="AP6" s="1">
        <v>32</v>
      </c>
      <c r="AQ6" s="1">
        <v>36</v>
      </c>
      <c r="AR6" s="1">
        <v>34</v>
      </c>
      <c r="AS6" s="1">
        <v>32</v>
      </c>
      <c r="AT6" s="1">
        <v>29</v>
      </c>
      <c r="AU6" s="1">
        <v>45</v>
      </c>
      <c r="AV6" s="1">
        <v>35</v>
      </c>
      <c r="AW6" s="1">
        <v>27</v>
      </c>
      <c r="AX6" s="1">
        <v>26</v>
      </c>
      <c r="AY6" s="1">
        <v>29</v>
      </c>
      <c r="AZ6" s="1">
        <v>37</v>
      </c>
      <c r="BA6" s="1">
        <v>32</v>
      </c>
      <c r="BB6" s="1">
        <v>39</v>
      </c>
      <c r="BC6" s="1">
        <v>38</v>
      </c>
      <c r="BD6" s="1">
        <v>29</v>
      </c>
      <c r="BE6" s="1">
        <v>33</v>
      </c>
      <c r="BF6" s="1">
        <v>26</v>
      </c>
      <c r="BG6" s="1">
        <v>29</v>
      </c>
      <c r="BH6" s="1">
        <v>27</v>
      </c>
      <c r="BI6" s="1">
        <v>13</v>
      </c>
      <c r="BJ6" s="1">
        <v>35</v>
      </c>
      <c r="BK6" s="1">
        <v>34</v>
      </c>
      <c r="BL6" s="1">
        <v>29</v>
      </c>
      <c r="BM6" s="1">
        <v>38</v>
      </c>
      <c r="BN6" s="1">
        <v>30</v>
      </c>
      <c r="BO6" s="1">
        <v>31</v>
      </c>
      <c r="BP6" s="1">
        <v>32</v>
      </c>
      <c r="BQ6" s="1">
        <v>57</v>
      </c>
    </row>
    <row r="7" spans="1:100" x14ac:dyDescent="0.25">
      <c r="A7" s="4">
        <v>43857</v>
      </c>
      <c r="B7" s="5">
        <v>14</v>
      </c>
      <c r="C7" s="5">
        <v>12</v>
      </c>
      <c r="D7" s="5">
        <v>9</v>
      </c>
      <c r="E7" s="5">
        <v>13</v>
      </c>
      <c r="F7" s="5">
        <v>35</v>
      </c>
      <c r="H7" s="5">
        <v>10</v>
      </c>
      <c r="I7" s="5">
        <v>24</v>
      </c>
      <c r="J7" s="5">
        <v>40</v>
      </c>
      <c r="K7" s="5">
        <v>10</v>
      </c>
      <c r="L7" s="5">
        <v>2</v>
      </c>
      <c r="N7" s="5">
        <v>7</v>
      </c>
      <c r="O7" s="5">
        <v>11</v>
      </c>
      <c r="P7" s="5">
        <v>45</v>
      </c>
      <c r="Q7" s="5">
        <v>6</v>
      </c>
      <c r="R7" s="5">
        <v>31</v>
      </c>
      <c r="T7" s="5">
        <v>5</v>
      </c>
      <c r="U7" s="5">
        <v>36</v>
      </c>
      <c r="V7" s="5">
        <v>2</v>
      </c>
      <c r="W7" s="5">
        <v>6</v>
      </c>
      <c r="X7" s="5">
        <v>3</v>
      </c>
      <c r="Z7" s="51">
        <v>4</v>
      </c>
      <c r="AA7" s="51">
        <v>5</v>
      </c>
      <c r="AB7" s="51">
        <v>29</v>
      </c>
      <c r="AC7" s="51">
        <v>4</v>
      </c>
      <c r="AD7" s="51">
        <v>13</v>
      </c>
      <c r="AF7" s="51">
        <v>25</v>
      </c>
      <c r="AG7" s="51">
        <v>1</v>
      </c>
      <c r="AH7" s="51">
        <v>10</v>
      </c>
      <c r="AI7" s="51">
        <v>24</v>
      </c>
      <c r="AJ7" s="51">
        <v>365</v>
      </c>
      <c r="AN7" s="1">
        <v>29</v>
      </c>
      <c r="AO7" s="1">
        <v>53</v>
      </c>
      <c r="AP7" s="1">
        <v>32</v>
      </c>
      <c r="AQ7" s="1">
        <v>36</v>
      </c>
      <c r="AR7" s="1">
        <v>34</v>
      </c>
      <c r="AS7" s="1">
        <v>32</v>
      </c>
      <c r="AT7" s="1">
        <v>29</v>
      </c>
      <c r="AU7" s="1">
        <v>45</v>
      </c>
      <c r="AV7" s="1">
        <v>35</v>
      </c>
      <c r="AW7" s="1">
        <v>27</v>
      </c>
      <c r="AX7" s="1">
        <v>26</v>
      </c>
      <c r="AY7" s="1">
        <v>29</v>
      </c>
      <c r="AZ7" s="1">
        <v>37</v>
      </c>
      <c r="BA7" s="1">
        <v>32</v>
      </c>
      <c r="BB7" s="1">
        <v>39</v>
      </c>
      <c r="BC7" s="1">
        <v>38</v>
      </c>
      <c r="BD7" s="1">
        <v>29</v>
      </c>
      <c r="BE7" s="1">
        <v>33</v>
      </c>
      <c r="BF7" s="1">
        <v>26</v>
      </c>
      <c r="BG7" s="1">
        <v>29</v>
      </c>
      <c r="BH7" s="1">
        <v>27</v>
      </c>
      <c r="BI7" s="1">
        <v>13</v>
      </c>
      <c r="BJ7" s="1">
        <v>35</v>
      </c>
      <c r="BK7" s="1">
        <v>34</v>
      </c>
      <c r="BL7" s="1">
        <v>29</v>
      </c>
      <c r="BM7" s="1">
        <v>38</v>
      </c>
      <c r="BN7" s="1">
        <v>30</v>
      </c>
      <c r="BO7" s="1">
        <v>31</v>
      </c>
      <c r="BP7" s="1">
        <v>32</v>
      </c>
      <c r="BQ7" s="1">
        <v>57</v>
      </c>
      <c r="BY7" s="1">
        <v>24</v>
      </c>
      <c r="CN7" s="1">
        <v>5</v>
      </c>
    </row>
    <row r="8" spans="1:100" x14ac:dyDescent="0.25">
      <c r="A8" s="4">
        <v>43858</v>
      </c>
      <c r="B8" s="5">
        <v>23</v>
      </c>
      <c r="C8" s="5">
        <v>11</v>
      </c>
      <c r="D8" s="5">
        <v>1</v>
      </c>
      <c r="E8" s="5">
        <v>13</v>
      </c>
      <c r="F8" s="5">
        <v>22</v>
      </c>
      <c r="H8" s="5">
        <v>36</v>
      </c>
      <c r="I8" s="5">
        <v>21</v>
      </c>
      <c r="J8" s="5">
        <v>56</v>
      </c>
      <c r="K8" s="5">
        <v>5</v>
      </c>
      <c r="L8" s="5">
        <v>2</v>
      </c>
      <c r="N8" s="5">
        <v>5</v>
      </c>
      <c r="O8" s="5">
        <v>7</v>
      </c>
      <c r="P8" s="5">
        <v>40</v>
      </c>
      <c r="Q8" s="5">
        <v>12</v>
      </c>
      <c r="R8" s="5">
        <v>43</v>
      </c>
      <c r="T8" s="5">
        <v>15</v>
      </c>
      <c r="U8" s="5">
        <v>37</v>
      </c>
      <c r="V8" s="5">
        <v>2</v>
      </c>
      <c r="W8" s="5">
        <v>7</v>
      </c>
      <c r="X8" s="5">
        <v>4</v>
      </c>
      <c r="Z8" s="51">
        <v>4</v>
      </c>
      <c r="AA8" s="51">
        <v>0</v>
      </c>
      <c r="AB8" s="51">
        <v>20</v>
      </c>
      <c r="AC8" s="51">
        <v>14</v>
      </c>
      <c r="AD8" s="51">
        <v>11</v>
      </c>
      <c r="AF8" s="51">
        <v>21</v>
      </c>
      <c r="AG8" s="51">
        <v>5</v>
      </c>
      <c r="AH8" s="51">
        <v>18</v>
      </c>
      <c r="AI8" s="51">
        <v>45</v>
      </c>
      <c r="AJ8" s="51">
        <v>2131</v>
      </c>
      <c r="AN8" s="1">
        <v>29</v>
      </c>
      <c r="AO8" s="1">
        <v>53</v>
      </c>
      <c r="AP8" s="1">
        <v>32</v>
      </c>
      <c r="AQ8" s="1">
        <v>36</v>
      </c>
      <c r="AR8" s="1">
        <v>34</v>
      </c>
      <c r="AS8" s="1">
        <v>32</v>
      </c>
      <c r="AT8" s="1">
        <v>29</v>
      </c>
      <c r="AU8" s="1">
        <v>45</v>
      </c>
      <c r="AV8" s="1">
        <v>35</v>
      </c>
      <c r="AW8" s="1">
        <v>27</v>
      </c>
      <c r="AX8" s="1">
        <v>26</v>
      </c>
      <c r="AY8" s="1">
        <v>29</v>
      </c>
      <c r="AZ8" s="1">
        <v>37</v>
      </c>
      <c r="BA8" s="1">
        <v>32</v>
      </c>
      <c r="BB8" s="1">
        <v>39</v>
      </c>
      <c r="BC8" s="1">
        <v>38</v>
      </c>
      <c r="BD8" s="1">
        <v>29</v>
      </c>
      <c r="BE8" s="1">
        <v>33</v>
      </c>
      <c r="BF8" s="1">
        <v>26</v>
      </c>
      <c r="BG8" s="1">
        <v>29</v>
      </c>
      <c r="BH8" s="1">
        <v>27</v>
      </c>
      <c r="BI8" s="1">
        <v>13</v>
      </c>
      <c r="BJ8" s="1">
        <v>35</v>
      </c>
      <c r="BK8" s="1">
        <v>34</v>
      </c>
      <c r="BL8" s="1">
        <v>29</v>
      </c>
      <c r="BM8" s="1">
        <v>38</v>
      </c>
      <c r="BN8" s="1">
        <v>30</v>
      </c>
      <c r="BO8" s="1">
        <v>31</v>
      </c>
      <c r="BP8" s="1">
        <v>32</v>
      </c>
      <c r="BQ8" s="1">
        <v>57</v>
      </c>
      <c r="CT8" s="1">
        <v>18</v>
      </c>
    </row>
    <row r="9" spans="1:100" x14ac:dyDescent="0.25">
      <c r="A9" s="4">
        <v>43859</v>
      </c>
      <c r="B9" s="5">
        <v>29</v>
      </c>
      <c r="C9" s="5">
        <v>20</v>
      </c>
      <c r="D9" s="5">
        <v>3</v>
      </c>
      <c r="E9" s="5">
        <v>30</v>
      </c>
      <c r="F9" s="5">
        <v>15</v>
      </c>
      <c r="H9" s="5">
        <v>46</v>
      </c>
      <c r="I9" s="5">
        <v>4</v>
      </c>
      <c r="J9" s="5">
        <v>70</v>
      </c>
      <c r="K9" s="5">
        <v>7</v>
      </c>
      <c r="L9" s="5">
        <v>0</v>
      </c>
      <c r="N9" s="5">
        <v>5</v>
      </c>
      <c r="O9" s="5">
        <v>3</v>
      </c>
      <c r="P9" s="5">
        <v>38</v>
      </c>
      <c r="Q9" s="5">
        <v>5</v>
      </c>
      <c r="R9" s="5">
        <v>78</v>
      </c>
      <c r="T9" s="5">
        <v>15</v>
      </c>
      <c r="U9" s="5">
        <v>0</v>
      </c>
      <c r="V9" s="5">
        <v>1</v>
      </c>
      <c r="W9" s="5">
        <v>5</v>
      </c>
      <c r="X9" s="5">
        <v>1</v>
      </c>
      <c r="Z9" s="51">
        <v>1</v>
      </c>
      <c r="AA9" s="51">
        <v>0</v>
      </c>
      <c r="AB9" s="51">
        <v>35</v>
      </c>
      <c r="AC9" s="51">
        <v>0</v>
      </c>
      <c r="AD9" s="51">
        <v>10</v>
      </c>
      <c r="AF9" s="51">
        <v>18</v>
      </c>
      <c r="AG9" s="51">
        <v>3</v>
      </c>
      <c r="AH9" s="51">
        <v>11</v>
      </c>
      <c r="AI9" s="51">
        <v>123</v>
      </c>
      <c r="AJ9" s="51">
        <v>0</v>
      </c>
      <c r="AN9" s="1">
        <v>29</v>
      </c>
      <c r="AO9" s="1">
        <v>53</v>
      </c>
      <c r="AP9" s="1">
        <v>32</v>
      </c>
      <c r="AQ9" s="1">
        <v>36</v>
      </c>
      <c r="AR9" s="1">
        <v>34</v>
      </c>
      <c r="AS9" s="1">
        <v>32</v>
      </c>
      <c r="AT9" s="1">
        <v>29</v>
      </c>
      <c r="AU9" s="1">
        <v>45</v>
      </c>
      <c r="AV9" s="1">
        <v>35</v>
      </c>
      <c r="AW9" s="1">
        <v>27</v>
      </c>
      <c r="AX9" s="1">
        <v>26</v>
      </c>
      <c r="AY9" s="1">
        <v>29</v>
      </c>
      <c r="AZ9" s="1">
        <v>37</v>
      </c>
      <c r="BA9" s="1">
        <v>32</v>
      </c>
      <c r="BB9" s="1">
        <v>39</v>
      </c>
      <c r="BC9" s="1">
        <v>38</v>
      </c>
      <c r="BD9" s="1">
        <v>29</v>
      </c>
      <c r="BE9" s="1">
        <v>33</v>
      </c>
      <c r="BF9" s="1">
        <v>26</v>
      </c>
      <c r="BG9" s="1">
        <v>29</v>
      </c>
      <c r="BH9" s="1">
        <v>27</v>
      </c>
      <c r="BI9" s="1">
        <v>13</v>
      </c>
      <c r="BJ9" s="1">
        <v>35</v>
      </c>
      <c r="BK9" s="1">
        <v>34</v>
      </c>
      <c r="BL9" s="1">
        <v>29</v>
      </c>
      <c r="BM9" s="1">
        <v>38</v>
      </c>
      <c r="BN9" s="1">
        <v>30</v>
      </c>
      <c r="BO9" s="1">
        <v>31</v>
      </c>
      <c r="BP9" s="1">
        <v>32</v>
      </c>
      <c r="BQ9" s="1">
        <v>57</v>
      </c>
    </row>
    <row r="10" spans="1:100" x14ac:dyDescent="0.25">
      <c r="A10" s="4">
        <v>43860</v>
      </c>
      <c r="B10" s="5">
        <v>30</v>
      </c>
      <c r="C10" s="5">
        <v>3</v>
      </c>
      <c r="D10" s="5">
        <v>4</v>
      </c>
      <c r="E10" s="5">
        <v>16</v>
      </c>
      <c r="F10" s="5">
        <v>35</v>
      </c>
      <c r="H10" s="5">
        <v>48</v>
      </c>
      <c r="I10" s="5">
        <v>17</v>
      </c>
      <c r="J10" s="5">
        <v>77</v>
      </c>
      <c r="K10" s="5">
        <v>20</v>
      </c>
      <c r="L10" s="5">
        <v>3</v>
      </c>
      <c r="N10" s="5">
        <v>2</v>
      </c>
      <c r="O10" s="5">
        <v>3</v>
      </c>
      <c r="P10" s="5">
        <v>72</v>
      </c>
      <c r="Q10" s="5">
        <v>6</v>
      </c>
      <c r="R10" s="5">
        <v>56</v>
      </c>
      <c r="T10" s="5">
        <v>17</v>
      </c>
      <c r="U10" s="5">
        <v>53</v>
      </c>
      <c r="V10" s="5">
        <v>5</v>
      </c>
      <c r="W10" s="5">
        <v>2</v>
      </c>
      <c r="X10" s="5">
        <v>5</v>
      </c>
      <c r="Z10" s="51">
        <v>3</v>
      </c>
      <c r="AA10" s="51">
        <v>2</v>
      </c>
      <c r="AB10" s="51">
        <v>28</v>
      </c>
      <c r="AC10" s="51">
        <v>8</v>
      </c>
      <c r="AD10" s="51">
        <v>7</v>
      </c>
      <c r="AF10" s="51">
        <v>34</v>
      </c>
      <c r="AG10" s="51">
        <v>1</v>
      </c>
      <c r="AH10" s="51">
        <v>15</v>
      </c>
      <c r="AI10" s="51">
        <v>132</v>
      </c>
      <c r="AJ10" s="51">
        <v>1349</v>
      </c>
      <c r="AN10" s="1">
        <v>29</v>
      </c>
      <c r="AO10" s="1">
        <v>53</v>
      </c>
      <c r="AP10" s="1">
        <v>32</v>
      </c>
      <c r="AQ10" s="1">
        <v>36</v>
      </c>
      <c r="AR10" s="1">
        <v>34</v>
      </c>
      <c r="AS10" s="1">
        <v>32</v>
      </c>
      <c r="AT10" s="1">
        <v>29</v>
      </c>
      <c r="AU10" s="1">
        <v>45</v>
      </c>
      <c r="AV10" s="1">
        <v>35</v>
      </c>
      <c r="AW10" s="1">
        <v>27</v>
      </c>
      <c r="AX10" s="1">
        <v>26</v>
      </c>
      <c r="AY10" s="1">
        <v>29</v>
      </c>
      <c r="AZ10" s="1">
        <v>37</v>
      </c>
      <c r="BA10" s="1">
        <v>32</v>
      </c>
      <c r="BB10" s="1">
        <v>39</v>
      </c>
      <c r="BC10" s="1">
        <v>38</v>
      </c>
      <c r="BD10" s="1">
        <v>29</v>
      </c>
      <c r="BE10" s="1">
        <v>33</v>
      </c>
      <c r="BF10" s="1">
        <v>26</v>
      </c>
      <c r="BG10" s="1">
        <v>29</v>
      </c>
      <c r="BH10" s="1">
        <v>27</v>
      </c>
      <c r="BI10" s="1">
        <v>13</v>
      </c>
      <c r="BJ10" s="1">
        <v>35</v>
      </c>
      <c r="BK10" s="1">
        <v>34</v>
      </c>
      <c r="BL10" s="1">
        <v>29</v>
      </c>
      <c r="BM10" s="1">
        <v>38</v>
      </c>
      <c r="BN10" s="1">
        <v>30</v>
      </c>
      <c r="BO10" s="1">
        <v>31</v>
      </c>
      <c r="BP10" s="1">
        <v>32</v>
      </c>
      <c r="BQ10" s="1">
        <v>57</v>
      </c>
      <c r="CA10" s="1">
        <v>20</v>
      </c>
      <c r="CU10" s="1">
        <v>132</v>
      </c>
    </row>
    <row r="11" spans="1:100" x14ac:dyDescent="0.25">
      <c r="A11" s="4">
        <v>43861</v>
      </c>
      <c r="B11" s="5">
        <v>39</v>
      </c>
      <c r="C11" s="5">
        <v>25</v>
      </c>
      <c r="D11" s="5">
        <v>1</v>
      </c>
      <c r="E11" s="5">
        <v>23</v>
      </c>
      <c r="F11" s="5">
        <v>29</v>
      </c>
      <c r="H11" s="5">
        <v>37</v>
      </c>
      <c r="I11" s="5">
        <v>19</v>
      </c>
      <c r="J11" s="5">
        <v>82</v>
      </c>
      <c r="K11" s="5">
        <v>9</v>
      </c>
      <c r="L11" s="5">
        <v>17</v>
      </c>
      <c r="N11" s="5">
        <v>3</v>
      </c>
      <c r="O11" s="5">
        <v>6</v>
      </c>
      <c r="P11" s="5">
        <v>74</v>
      </c>
      <c r="Q11" s="5">
        <v>15</v>
      </c>
      <c r="R11" s="5">
        <v>55</v>
      </c>
      <c r="T11" s="5">
        <v>17</v>
      </c>
      <c r="U11" s="5">
        <v>78</v>
      </c>
      <c r="V11" s="5">
        <v>0</v>
      </c>
      <c r="W11" s="5">
        <v>7</v>
      </c>
      <c r="X11" s="5">
        <v>4</v>
      </c>
      <c r="Z11" s="51">
        <v>1</v>
      </c>
      <c r="AA11" s="51">
        <v>0</v>
      </c>
      <c r="AB11" s="51">
        <v>26</v>
      </c>
      <c r="AC11" s="51">
        <v>4</v>
      </c>
      <c r="AD11" s="51">
        <v>24</v>
      </c>
      <c r="AF11" s="51">
        <v>35</v>
      </c>
      <c r="AG11" s="51">
        <v>3</v>
      </c>
      <c r="AH11" s="51">
        <v>13</v>
      </c>
      <c r="AI11" s="51">
        <v>110</v>
      </c>
      <c r="AJ11" s="51">
        <v>903</v>
      </c>
      <c r="AN11" s="1">
        <v>29</v>
      </c>
      <c r="AO11" s="1">
        <v>53</v>
      </c>
      <c r="AP11" s="1">
        <v>32</v>
      </c>
      <c r="AQ11" s="1">
        <v>36</v>
      </c>
      <c r="AR11" s="1">
        <v>34</v>
      </c>
      <c r="AS11" s="1">
        <v>32</v>
      </c>
      <c r="AT11" s="1">
        <v>29</v>
      </c>
      <c r="AU11" s="1">
        <v>45</v>
      </c>
      <c r="AV11" s="1">
        <v>35</v>
      </c>
      <c r="AW11" s="1">
        <v>27</v>
      </c>
      <c r="AX11" s="1">
        <v>26</v>
      </c>
      <c r="AY11" s="1">
        <v>29</v>
      </c>
      <c r="AZ11" s="1">
        <v>37</v>
      </c>
      <c r="BA11" s="1">
        <v>32</v>
      </c>
      <c r="BB11" s="1">
        <v>39</v>
      </c>
      <c r="BC11" s="1">
        <v>38</v>
      </c>
      <c r="BD11" s="1">
        <v>29</v>
      </c>
      <c r="BE11" s="1">
        <v>33</v>
      </c>
      <c r="BF11" s="1">
        <v>26</v>
      </c>
      <c r="BG11" s="1">
        <v>29</v>
      </c>
      <c r="BH11" s="1">
        <v>27</v>
      </c>
      <c r="BI11" s="1">
        <v>13</v>
      </c>
      <c r="BJ11" s="1">
        <v>35</v>
      </c>
      <c r="BK11" s="1">
        <v>34</v>
      </c>
      <c r="BL11" s="1">
        <v>29</v>
      </c>
      <c r="BM11" s="1">
        <v>38</v>
      </c>
      <c r="BN11" s="1">
        <v>30</v>
      </c>
      <c r="BO11" s="1">
        <v>31</v>
      </c>
      <c r="BP11" s="1">
        <v>32</v>
      </c>
      <c r="BQ11" s="1">
        <v>57</v>
      </c>
      <c r="BS11" s="1">
        <v>39</v>
      </c>
      <c r="CB11" s="1">
        <v>17</v>
      </c>
      <c r="CQ11" s="1">
        <v>24</v>
      </c>
      <c r="CR11" s="1">
        <v>35</v>
      </c>
    </row>
    <row r="12" spans="1:100" x14ac:dyDescent="0.25">
      <c r="A12" s="4">
        <v>43862</v>
      </c>
      <c r="B12" s="5">
        <v>34</v>
      </c>
      <c r="C12" s="5">
        <v>29</v>
      </c>
      <c r="D12" s="5">
        <v>9</v>
      </c>
      <c r="E12" s="5">
        <v>34</v>
      </c>
      <c r="F12" s="5">
        <v>36</v>
      </c>
      <c r="H12" s="5">
        <v>60</v>
      </c>
      <c r="I12" s="5">
        <v>24</v>
      </c>
      <c r="J12" s="5">
        <v>99</v>
      </c>
      <c r="K12" s="5">
        <v>13</v>
      </c>
      <c r="L12" s="5">
        <v>0</v>
      </c>
      <c r="N12" s="5">
        <v>11</v>
      </c>
      <c r="O12" s="5">
        <v>10</v>
      </c>
      <c r="P12" s="5">
        <v>70</v>
      </c>
      <c r="Q12" s="5">
        <v>21</v>
      </c>
      <c r="R12" s="5">
        <v>57</v>
      </c>
      <c r="T12" s="5">
        <v>14</v>
      </c>
      <c r="U12" s="5">
        <v>46</v>
      </c>
      <c r="V12" s="5">
        <v>3</v>
      </c>
      <c r="W12" s="5">
        <v>16</v>
      </c>
      <c r="X12" s="5">
        <v>5</v>
      </c>
      <c r="Z12" s="51">
        <v>3</v>
      </c>
      <c r="AA12" s="51">
        <v>1</v>
      </c>
      <c r="AB12" s="51">
        <v>22</v>
      </c>
      <c r="AC12" s="51">
        <v>8</v>
      </c>
      <c r="AD12" s="51">
        <v>14</v>
      </c>
      <c r="AF12" s="51">
        <v>30</v>
      </c>
      <c r="AG12" s="51">
        <v>1</v>
      </c>
      <c r="AH12" s="51">
        <v>10</v>
      </c>
      <c r="AI12" s="51">
        <v>61</v>
      </c>
      <c r="AJ12" s="51">
        <v>1347</v>
      </c>
      <c r="AN12" s="1">
        <v>29</v>
      </c>
      <c r="AO12" s="1">
        <v>53</v>
      </c>
      <c r="AP12" s="1">
        <v>32</v>
      </c>
      <c r="AQ12" s="1">
        <v>36</v>
      </c>
      <c r="AR12" s="1">
        <v>34</v>
      </c>
      <c r="AS12" s="1">
        <v>32</v>
      </c>
      <c r="AT12" s="1">
        <v>29</v>
      </c>
      <c r="AU12" s="1">
        <v>45</v>
      </c>
      <c r="AV12" s="1">
        <v>35</v>
      </c>
      <c r="AW12" s="1">
        <v>27</v>
      </c>
      <c r="AX12" s="1">
        <v>26</v>
      </c>
      <c r="AY12" s="1">
        <v>29</v>
      </c>
      <c r="AZ12" s="1">
        <v>37</v>
      </c>
      <c r="BA12" s="1">
        <v>32</v>
      </c>
      <c r="BB12" s="1">
        <v>39</v>
      </c>
      <c r="BC12" s="1">
        <v>38</v>
      </c>
      <c r="BD12" s="1">
        <v>29</v>
      </c>
      <c r="BE12" s="1">
        <v>33</v>
      </c>
      <c r="BF12" s="1">
        <v>26</v>
      </c>
      <c r="BG12" s="1">
        <v>29</v>
      </c>
      <c r="BH12" s="1">
        <v>27</v>
      </c>
      <c r="BI12" s="1">
        <v>13</v>
      </c>
      <c r="BJ12" s="1">
        <v>35</v>
      </c>
      <c r="BK12" s="1">
        <v>34</v>
      </c>
      <c r="BL12" s="1">
        <v>29</v>
      </c>
      <c r="BM12" s="1">
        <v>38</v>
      </c>
      <c r="BN12" s="1">
        <v>30</v>
      </c>
      <c r="BO12" s="1">
        <v>31</v>
      </c>
      <c r="BP12" s="1">
        <v>32</v>
      </c>
      <c r="BQ12" s="1">
        <v>57</v>
      </c>
      <c r="BT12" s="1">
        <v>29</v>
      </c>
      <c r="BV12" s="1">
        <v>34</v>
      </c>
      <c r="BY12" s="1">
        <v>24</v>
      </c>
      <c r="BZ12" s="1">
        <v>99</v>
      </c>
      <c r="CK12" s="1">
        <v>16</v>
      </c>
    </row>
    <row r="13" spans="1:100" x14ac:dyDescent="0.25">
      <c r="A13" s="4">
        <v>43863</v>
      </c>
      <c r="B13" s="5">
        <v>34</v>
      </c>
      <c r="C13" s="5">
        <v>23</v>
      </c>
      <c r="D13" s="5">
        <v>7</v>
      </c>
      <c r="E13" s="5">
        <v>13</v>
      </c>
      <c r="F13" s="5">
        <v>53</v>
      </c>
      <c r="H13" s="5">
        <v>43</v>
      </c>
      <c r="I13" s="5">
        <v>15</v>
      </c>
      <c r="J13" s="5">
        <v>97</v>
      </c>
      <c r="K13" s="5">
        <v>11</v>
      </c>
      <c r="L13" s="5">
        <v>9</v>
      </c>
      <c r="N13" s="5">
        <v>11</v>
      </c>
      <c r="O13" s="5">
        <v>2</v>
      </c>
      <c r="P13" s="5">
        <v>71</v>
      </c>
      <c r="Q13" s="5">
        <v>15</v>
      </c>
      <c r="R13" s="5">
        <v>74</v>
      </c>
      <c r="T13" s="5">
        <v>8</v>
      </c>
      <c r="U13" s="5">
        <v>47</v>
      </c>
      <c r="V13" s="5">
        <v>6</v>
      </c>
      <c r="W13" s="5">
        <v>6</v>
      </c>
      <c r="X13" s="5">
        <v>2</v>
      </c>
      <c r="Z13" s="51">
        <v>4</v>
      </c>
      <c r="AA13" s="51">
        <v>2</v>
      </c>
      <c r="AB13" s="51">
        <v>24</v>
      </c>
      <c r="AC13" s="51">
        <v>19</v>
      </c>
      <c r="AD13" s="51">
        <v>15</v>
      </c>
      <c r="AF13" s="51">
        <v>24</v>
      </c>
      <c r="AG13" s="51">
        <v>3</v>
      </c>
      <c r="AH13" s="51">
        <v>12</v>
      </c>
      <c r="AI13" s="51">
        <v>62</v>
      </c>
      <c r="AJ13" s="51">
        <v>4024</v>
      </c>
      <c r="AN13" s="1">
        <v>29</v>
      </c>
      <c r="AO13" s="1">
        <v>53</v>
      </c>
      <c r="AP13" s="1">
        <v>32</v>
      </c>
      <c r="AQ13" s="1">
        <v>36</v>
      </c>
      <c r="AR13" s="1">
        <v>34</v>
      </c>
      <c r="AS13" s="1">
        <v>32</v>
      </c>
      <c r="AT13" s="1">
        <v>29</v>
      </c>
      <c r="AU13" s="1">
        <v>45</v>
      </c>
      <c r="AV13" s="1">
        <v>35</v>
      </c>
      <c r="AW13" s="1">
        <v>27</v>
      </c>
      <c r="AX13" s="1">
        <v>26</v>
      </c>
      <c r="AY13" s="1">
        <v>29</v>
      </c>
      <c r="AZ13" s="1">
        <v>37</v>
      </c>
      <c r="BA13" s="1">
        <v>32</v>
      </c>
      <c r="BB13" s="1">
        <v>39</v>
      </c>
      <c r="BC13" s="1">
        <v>38</v>
      </c>
      <c r="BD13" s="1">
        <v>29</v>
      </c>
      <c r="BE13" s="1">
        <v>33</v>
      </c>
      <c r="BF13" s="1">
        <v>26</v>
      </c>
      <c r="BG13" s="1">
        <v>29</v>
      </c>
      <c r="BH13" s="1">
        <v>27</v>
      </c>
      <c r="BI13" s="1">
        <v>13</v>
      </c>
      <c r="BJ13" s="1">
        <v>35</v>
      </c>
      <c r="BK13" s="1">
        <v>34</v>
      </c>
      <c r="BL13" s="1">
        <v>29</v>
      </c>
      <c r="BM13" s="1">
        <v>38</v>
      </c>
      <c r="BN13" s="1">
        <v>30</v>
      </c>
      <c r="BO13" s="1">
        <v>31</v>
      </c>
      <c r="BP13" s="1">
        <v>32</v>
      </c>
      <c r="BQ13" s="1">
        <v>57</v>
      </c>
      <c r="BW13" s="1">
        <v>53</v>
      </c>
      <c r="CG13" s="1">
        <v>74</v>
      </c>
      <c r="CP13" s="1">
        <v>19</v>
      </c>
    </row>
    <row r="14" spans="1:100" x14ac:dyDescent="0.25">
      <c r="A14" s="4">
        <v>43864</v>
      </c>
      <c r="B14" s="5">
        <v>35</v>
      </c>
      <c r="C14" s="5">
        <v>21</v>
      </c>
      <c r="D14" s="5">
        <v>12</v>
      </c>
      <c r="E14" s="5">
        <v>21</v>
      </c>
      <c r="F14" s="5">
        <v>37</v>
      </c>
      <c r="H14" s="5">
        <v>68</v>
      </c>
      <c r="I14" s="5">
        <v>20</v>
      </c>
      <c r="J14" s="5">
        <v>93</v>
      </c>
      <c r="K14" s="5">
        <v>16</v>
      </c>
      <c r="L14" s="5">
        <v>8</v>
      </c>
      <c r="N14" s="5">
        <v>4</v>
      </c>
      <c r="O14" s="5">
        <v>8</v>
      </c>
      <c r="P14" s="5">
        <v>73</v>
      </c>
      <c r="Q14" s="5">
        <v>26</v>
      </c>
      <c r="R14" s="5">
        <v>58</v>
      </c>
      <c r="T14" s="5">
        <v>9</v>
      </c>
      <c r="U14" s="5">
        <v>58</v>
      </c>
      <c r="V14" s="5">
        <v>8</v>
      </c>
      <c r="W14" s="5">
        <v>4</v>
      </c>
      <c r="X14" s="5">
        <v>3</v>
      </c>
      <c r="Z14" s="51">
        <v>7</v>
      </c>
      <c r="AA14" s="51">
        <v>2</v>
      </c>
      <c r="AB14" s="51">
        <v>29</v>
      </c>
      <c r="AC14" s="51">
        <v>8</v>
      </c>
      <c r="AD14" s="51">
        <v>12</v>
      </c>
      <c r="AF14" s="51">
        <v>23</v>
      </c>
      <c r="AG14" s="51">
        <v>3</v>
      </c>
      <c r="AH14" s="51">
        <v>12</v>
      </c>
      <c r="AI14" s="51">
        <v>63</v>
      </c>
      <c r="AJ14" s="51">
        <v>2345</v>
      </c>
      <c r="AN14" s="1">
        <v>29</v>
      </c>
      <c r="AO14" s="1">
        <v>53</v>
      </c>
      <c r="AP14" s="1">
        <v>32</v>
      </c>
      <c r="AQ14" s="1">
        <v>36</v>
      </c>
      <c r="AR14" s="1">
        <v>34</v>
      </c>
      <c r="AS14" s="1">
        <v>32</v>
      </c>
      <c r="AT14" s="1">
        <v>29</v>
      </c>
      <c r="AU14" s="1">
        <v>45</v>
      </c>
      <c r="AV14" s="1">
        <v>35</v>
      </c>
      <c r="AW14" s="1">
        <v>27</v>
      </c>
      <c r="AX14" s="1">
        <v>26</v>
      </c>
      <c r="AY14" s="1">
        <v>29</v>
      </c>
      <c r="AZ14" s="1">
        <v>37</v>
      </c>
      <c r="BA14" s="1">
        <v>32</v>
      </c>
      <c r="BB14" s="1">
        <v>39</v>
      </c>
      <c r="BC14" s="1">
        <v>38</v>
      </c>
      <c r="BD14" s="1">
        <v>29</v>
      </c>
      <c r="BE14" s="1">
        <v>33</v>
      </c>
      <c r="BF14" s="1">
        <v>26</v>
      </c>
      <c r="BG14" s="1">
        <v>29</v>
      </c>
      <c r="BH14" s="1">
        <v>27</v>
      </c>
      <c r="BI14" s="1">
        <v>13</v>
      </c>
      <c r="BJ14" s="1">
        <v>35</v>
      </c>
      <c r="BK14" s="1">
        <v>34</v>
      </c>
      <c r="BL14" s="1">
        <v>29</v>
      </c>
      <c r="BM14" s="1">
        <v>38</v>
      </c>
      <c r="BN14" s="1">
        <v>30</v>
      </c>
      <c r="BO14" s="1">
        <v>31</v>
      </c>
      <c r="BP14" s="1">
        <v>32</v>
      </c>
      <c r="BQ14" s="1">
        <v>57</v>
      </c>
      <c r="BU14" s="1">
        <v>12</v>
      </c>
      <c r="CM14" s="1">
        <v>7</v>
      </c>
    </row>
    <row r="15" spans="1:100" x14ac:dyDescent="0.25">
      <c r="A15" s="4">
        <v>43865</v>
      </c>
      <c r="B15" s="5">
        <v>37</v>
      </c>
      <c r="C15" s="5">
        <v>16</v>
      </c>
      <c r="D15" s="5">
        <v>7</v>
      </c>
      <c r="E15" s="5">
        <v>16</v>
      </c>
      <c r="F15" s="5">
        <v>29</v>
      </c>
      <c r="H15" s="5">
        <v>72</v>
      </c>
      <c r="I15" s="5">
        <v>15</v>
      </c>
      <c r="J15" s="5">
        <v>88</v>
      </c>
      <c r="K15" s="5">
        <v>12</v>
      </c>
      <c r="L15" s="5">
        <v>12</v>
      </c>
      <c r="N15" s="5">
        <v>2</v>
      </c>
      <c r="O15" s="5">
        <v>8</v>
      </c>
      <c r="P15" s="5">
        <v>109</v>
      </c>
      <c r="Q15" s="5">
        <v>34</v>
      </c>
      <c r="R15" s="5">
        <v>72</v>
      </c>
      <c r="T15" s="5">
        <v>13</v>
      </c>
      <c r="U15" s="5">
        <v>85</v>
      </c>
      <c r="V15" s="5">
        <v>11</v>
      </c>
      <c r="W15" s="5">
        <v>7</v>
      </c>
      <c r="X15" s="5">
        <v>3</v>
      </c>
      <c r="Z15" s="51">
        <v>1</v>
      </c>
      <c r="AA15" s="51">
        <v>2</v>
      </c>
      <c r="AB15" s="51">
        <v>16</v>
      </c>
      <c r="AC15" s="51">
        <v>7</v>
      </c>
      <c r="AD15" s="51">
        <v>14</v>
      </c>
      <c r="AF15" s="51">
        <v>28</v>
      </c>
      <c r="AG15" s="51">
        <v>5</v>
      </c>
      <c r="AH15" s="51">
        <v>5</v>
      </c>
      <c r="AI15" s="51">
        <v>105</v>
      </c>
      <c r="AJ15" s="51">
        <v>3156</v>
      </c>
      <c r="AN15" s="1">
        <v>29</v>
      </c>
      <c r="AO15" s="1">
        <v>53</v>
      </c>
      <c r="AP15" s="1">
        <v>32</v>
      </c>
      <c r="AQ15" s="1">
        <v>36</v>
      </c>
      <c r="AR15" s="1">
        <v>34</v>
      </c>
      <c r="AS15" s="1">
        <v>32</v>
      </c>
      <c r="AT15" s="1">
        <v>29</v>
      </c>
      <c r="AU15" s="1">
        <v>45</v>
      </c>
      <c r="AV15" s="1">
        <v>35</v>
      </c>
      <c r="AW15" s="1">
        <v>27</v>
      </c>
      <c r="AX15" s="1">
        <v>26</v>
      </c>
      <c r="AY15" s="1">
        <v>29</v>
      </c>
      <c r="AZ15" s="1">
        <v>37</v>
      </c>
      <c r="BA15" s="1">
        <v>32</v>
      </c>
      <c r="BB15" s="1">
        <v>39</v>
      </c>
      <c r="BC15" s="1">
        <v>38</v>
      </c>
      <c r="BD15" s="1">
        <v>29</v>
      </c>
      <c r="BE15" s="1">
        <v>33</v>
      </c>
      <c r="BF15" s="1">
        <v>26</v>
      </c>
      <c r="BG15" s="1">
        <v>29</v>
      </c>
      <c r="BH15" s="1">
        <v>27</v>
      </c>
      <c r="BI15" s="1">
        <v>13</v>
      </c>
      <c r="BJ15" s="1">
        <v>35</v>
      </c>
      <c r="BK15" s="1">
        <v>34</v>
      </c>
      <c r="BL15" s="1">
        <v>29</v>
      </c>
      <c r="BM15" s="1">
        <v>38</v>
      </c>
      <c r="BN15" s="1">
        <v>30</v>
      </c>
      <c r="BO15" s="1">
        <v>31</v>
      </c>
      <c r="BP15" s="1">
        <v>32</v>
      </c>
      <c r="BQ15" s="1">
        <v>57</v>
      </c>
      <c r="CE15" s="1">
        <v>109</v>
      </c>
      <c r="CI15" s="1">
        <v>85</v>
      </c>
    </row>
    <row r="16" spans="1:100" x14ac:dyDescent="0.25">
      <c r="A16" s="4">
        <v>43866</v>
      </c>
      <c r="B16" s="5">
        <v>33</v>
      </c>
      <c r="C16" s="5">
        <v>25</v>
      </c>
      <c r="D16" s="5">
        <v>2</v>
      </c>
      <c r="E16" s="5">
        <v>24</v>
      </c>
      <c r="F16" s="5">
        <v>23</v>
      </c>
      <c r="H16" s="5">
        <v>50</v>
      </c>
      <c r="I16" s="5">
        <v>11</v>
      </c>
      <c r="J16" s="5">
        <v>82</v>
      </c>
      <c r="K16" s="5">
        <v>11</v>
      </c>
      <c r="L16" s="5">
        <v>6</v>
      </c>
      <c r="N16" s="5">
        <v>5</v>
      </c>
      <c r="O16" s="5">
        <v>19</v>
      </c>
      <c r="P16" s="5">
        <v>89</v>
      </c>
      <c r="Q16" s="5">
        <v>35</v>
      </c>
      <c r="R16" s="5">
        <v>68</v>
      </c>
      <c r="T16" s="5">
        <v>9</v>
      </c>
      <c r="U16" s="5">
        <v>72</v>
      </c>
      <c r="V16" s="5">
        <v>12</v>
      </c>
      <c r="W16" s="5">
        <v>8</v>
      </c>
      <c r="X16" s="5">
        <v>0</v>
      </c>
      <c r="Z16" s="51">
        <v>7</v>
      </c>
      <c r="AA16" s="51">
        <v>2</v>
      </c>
      <c r="AB16" s="51">
        <v>32</v>
      </c>
      <c r="AC16" s="51">
        <v>0</v>
      </c>
      <c r="AD16" s="51">
        <v>23</v>
      </c>
      <c r="AF16" s="51">
        <v>19</v>
      </c>
      <c r="AG16" s="51">
        <v>3</v>
      </c>
      <c r="AH16" s="51">
        <v>6</v>
      </c>
      <c r="AI16" s="51">
        <v>66</v>
      </c>
      <c r="AJ16" s="51">
        <v>2987</v>
      </c>
      <c r="AN16" s="1">
        <v>29</v>
      </c>
      <c r="AO16" s="1">
        <v>53</v>
      </c>
      <c r="AP16" s="1">
        <v>32</v>
      </c>
      <c r="AQ16" s="1">
        <v>36</v>
      </c>
      <c r="AR16" s="1">
        <v>34</v>
      </c>
      <c r="AS16" s="1">
        <v>32</v>
      </c>
      <c r="AT16" s="1">
        <v>29</v>
      </c>
      <c r="AU16" s="1">
        <v>45</v>
      </c>
      <c r="AV16" s="1">
        <v>35</v>
      </c>
      <c r="AW16" s="1">
        <v>27</v>
      </c>
      <c r="AX16" s="1">
        <v>26</v>
      </c>
      <c r="AY16" s="1">
        <v>29</v>
      </c>
      <c r="AZ16" s="1">
        <v>37</v>
      </c>
      <c r="BA16" s="1">
        <v>32</v>
      </c>
      <c r="BB16" s="1">
        <v>39</v>
      </c>
      <c r="BC16" s="1">
        <v>38</v>
      </c>
      <c r="BD16" s="1">
        <v>29</v>
      </c>
      <c r="BE16" s="1">
        <v>33</v>
      </c>
      <c r="BF16" s="1">
        <v>26</v>
      </c>
      <c r="BG16" s="1">
        <v>29</v>
      </c>
      <c r="BH16" s="1">
        <v>27</v>
      </c>
      <c r="BI16" s="1">
        <v>13</v>
      </c>
      <c r="BJ16" s="1">
        <v>35</v>
      </c>
      <c r="BK16" s="1">
        <v>34</v>
      </c>
      <c r="BL16" s="1">
        <v>29</v>
      </c>
      <c r="BM16" s="1">
        <v>38</v>
      </c>
      <c r="BN16" s="1">
        <v>30</v>
      </c>
      <c r="BO16" s="1">
        <v>31</v>
      </c>
      <c r="BP16" s="1">
        <v>32</v>
      </c>
      <c r="BQ16" s="1">
        <v>57</v>
      </c>
      <c r="CD16" s="1">
        <v>19</v>
      </c>
      <c r="CJ16" s="1">
        <v>12</v>
      </c>
      <c r="CM16" s="1">
        <v>7</v>
      </c>
    </row>
    <row r="17" spans="1:97" x14ac:dyDescent="0.25">
      <c r="A17" s="4">
        <v>43867</v>
      </c>
      <c r="B17" s="5">
        <v>32</v>
      </c>
      <c r="C17" s="5">
        <v>21</v>
      </c>
      <c r="D17" s="5">
        <v>10</v>
      </c>
      <c r="E17" s="5">
        <v>14</v>
      </c>
      <c r="F17" s="5">
        <v>22</v>
      </c>
      <c r="H17" s="5">
        <v>61</v>
      </c>
      <c r="I17" s="5">
        <v>10</v>
      </c>
      <c r="J17" s="5">
        <v>75</v>
      </c>
      <c r="K17" s="5">
        <v>18</v>
      </c>
      <c r="L17" s="5">
        <v>7</v>
      </c>
      <c r="N17" s="5">
        <v>0</v>
      </c>
      <c r="O17" s="5">
        <v>7</v>
      </c>
      <c r="P17" s="5">
        <v>87</v>
      </c>
      <c r="Q17" s="5">
        <v>37</v>
      </c>
      <c r="R17" s="5">
        <v>50</v>
      </c>
      <c r="T17" s="5">
        <v>22</v>
      </c>
      <c r="U17" s="5">
        <v>52</v>
      </c>
      <c r="V17" s="5">
        <v>5</v>
      </c>
      <c r="W17" s="5">
        <v>5</v>
      </c>
      <c r="X17" s="5">
        <v>6</v>
      </c>
      <c r="Z17" s="51">
        <v>4</v>
      </c>
      <c r="AA17" s="51">
        <v>1</v>
      </c>
      <c r="AB17" s="51">
        <v>40</v>
      </c>
      <c r="AC17" s="51">
        <v>15</v>
      </c>
      <c r="AD17" s="51">
        <v>8</v>
      </c>
      <c r="AF17" s="51">
        <v>20</v>
      </c>
      <c r="AG17" s="51">
        <v>4</v>
      </c>
      <c r="AH17" s="51">
        <v>5</v>
      </c>
      <c r="AI17" s="51">
        <v>59</v>
      </c>
      <c r="AJ17" s="51">
        <v>2447</v>
      </c>
      <c r="AN17" s="1">
        <v>29</v>
      </c>
      <c r="AO17" s="1">
        <v>53</v>
      </c>
      <c r="AP17" s="1">
        <v>32</v>
      </c>
      <c r="AQ17" s="1">
        <v>36</v>
      </c>
      <c r="AR17" s="1">
        <v>34</v>
      </c>
      <c r="AS17" s="1">
        <v>32</v>
      </c>
      <c r="AT17" s="1">
        <v>29</v>
      </c>
      <c r="AU17" s="1">
        <v>45</v>
      </c>
      <c r="AV17" s="1">
        <v>35</v>
      </c>
      <c r="AW17" s="1">
        <v>27</v>
      </c>
      <c r="AX17" s="1">
        <v>26</v>
      </c>
      <c r="AY17" s="1">
        <v>29</v>
      </c>
      <c r="AZ17" s="1">
        <v>37</v>
      </c>
      <c r="BA17" s="1">
        <v>32</v>
      </c>
      <c r="BB17" s="1">
        <v>39</v>
      </c>
      <c r="BC17" s="1">
        <v>38</v>
      </c>
      <c r="BD17" s="1">
        <v>29</v>
      </c>
      <c r="BE17" s="1">
        <v>33</v>
      </c>
      <c r="BF17" s="1">
        <v>26</v>
      </c>
      <c r="BG17" s="1">
        <v>29</v>
      </c>
      <c r="BH17" s="1">
        <v>27</v>
      </c>
      <c r="BI17" s="1">
        <v>13</v>
      </c>
      <c r="BJ17" s="1">
        <v>35</v>
      </c>
      <c r="BK17" s="1">
        <v>34</v>
      </c>
      <c r="BL17" s="1">
        <v>29</v>
      </c>
      <c r="BM17" s="1">
        <v>38</v>
      </c>
      <c r="BN17" s="1">
        <v>30</v>
      </c>
      <c r="BO17" s="1">
        <v>31</v>
      </c>
      <c r="BP17" s="1">
        <v>32</v>
      </c>
      <c r="BQ17" s="1">
        <v>57</v>
      </c>
      <c r="CL17" s="1">
        <v>6</v>
      </c>
      <c r="CO17" s="1">
        <v>40</v>
      </c>
    </row>
    <row r="18" spans="1:97" x14ac:dyDescent="0.25">
      <c r="A18" s="4">
        <v>43868</v>
      </c>
      <c r="B18" s="5">
        <v>35</v>
      </c>
      <c r="C18" s="5">
        <v>23</v>
      </c>
      <c r="D18" s="5">
        <v>2</v>
      </c>
      <c r="E18" s="5">
        <v>20</v>
      </c>
      <c r="F18" s="5">
        <v>15</v>
      </c>
      <c r="H18" s="5">
        <v>74</v>
      </c>
      <c r="I18" s="5">
        <v>9</v>
      </c>
      <c r="J18" s="5">
        <v>64</v>
      </c>
      <c r="K18" s="5">
        <v>4</v>
      </c>
      <c r="L18" s="5">
        <v>10</v>
      </c>
      <c r="N18" s="5">
        <v>5</v>
      </c>
      <c r="O18" s="5">
        <v>11</v>
      </c>
      <c r="P18" s="5">
        <v>63</v>
      </c>
      <c r="Q18" s="5">
        <v>50</v>
      </c>
      <c r="R18" s="5">
        <v>61</v>
      </c>
      <c r="T18" s="5">
        <v>15</v>
      </c>
      <c r="U18" s="5">
        <v>61</v>
      </c>
      <c r="V18" s="5">
        <v>6</v>
      </c>
      <c r="W18" s="5">
        <v>5</v>
      </c>
      <c r="X18" s="5">
        <v>3</v>
      </c>
      <c r="Z18" s="51">
        <v>4</v>
      </c>
      <c r="AB18" s="51">
        <v>39</v>
      </c>
      <c r="AC18" s="51">
        <v>8</v>
      </c>
      <c r="AD18" s="51">
        <v>11</v>
      </c>
      <c r="AF18" s="51">
        <v>23</v>
      </c>
      <c r="AG18" s="51">
        <v>3</v>
      </c>
      <c r="AH18" s="51">
        <v>5</v>
      </c>
      <c r="AI18" s="51">
        <v>52</v>
      </c>
      <c r="AJ18" s="51">
        <v>2841</v>
      </c>
      <c r="AN18" s="1">
        <v>29</v>
      </c>
      <c r="AO18" s="1">
        <v>53</v>
      </c>
      <c r="AP18" s="1">
        <v>32</v>
      </c>
      <c r="AQ18" s="1">
        <v>36</v>
      </c>
      <c r="AR18" s="1">
        <v>34</v>
      </c>
      <c r="AS18" s="1">
        <v>32</v>
      </c>
      <c r="AT18" s="1">
        <v>29</v>
      </c>
      <c r="AU18" s="1">
        <v>45</v>
      </c>
      <c r="AV18" s="1">
        <v>35</v>
      </c>
      <c r="AW18" s="1">
        <v>27</v>
      </c>
      <c r="AX18" s="1">
        <v>26</v>
      </c>
      <c r="AY18" s="1">
        <v>29</v>
      </c>
      <c r="AZ18" s="1">
        <v>37</v>
      </c>
      <c r="BA18" s="1">
        <v>32</v>
      </c>
      <c r="BB18" s="1">
        <v>39</v>
      </c>
      <c r="BC18" s="1">
        <v>38</v>
      </c>
      <c r="BD18" s="1">
        <v>29</v>
      </c>
      <c r="BE18" s="1">
        <v>33</v>
      </c>
      <c r="BF18" s="1">
        <v>26</v>
      </c>
      <c r="BG18" s="1">
        <v>29</v>
      </c>
      <c r="BH18" s="1">
        <v>27</v>
      </c>
      <c r="BJ18" s="1">
        <v>35</v>
      </c>
      <c r="BK18" s="1">
        <v>34</v>
      </c>
      <c r="BL18" s="1">
        <v>29</v>
      </c>
      <c r="BM18" s="1">
        <v>38</v>
      </c>
      <c r="BN18" s="1">
        <v>30</v>
      </c>
      <c r="BO18" s="1">
        <v>31</v>
      </c>
      <c r="BP18" s="1">
        <v>32</v>
      </c>
      <c r="BQ18" s="1">
        <v>57</v>
      </c>
      <c r="BX18" s="1">
        <v>74</v>
      </c>
      <c r="CF18" s="1">
        <v>50</v>
      </c>
    </row>
    <row r="19" spans="1:97" x14ac:dyDescent="0.25">
      <c r="A19" s="4">
        <v>43869</v>
      </c>
      <c r="B19" s="5">
        <v>31</v>
      </c>
      <c r="C19" s="5">
        <v>18</v>
      </c>
      <c r="D19" s="5">
        <v>7</v>
      </c>
      <c r="E19" s="5">
        <v>9</v>
      </c>
      <c r="F19" s="5">
        <v>2</v>
      </c>
      <c r="H19" s="5">
        <v>68</v>
      </c>
      <c r="I19" s="5">
        <v>15</v>
      </c>
      <c r="J19" s="5">
        <v>61</v>
      </c>
      <c r="K19" s="5">
        <v>11</v>
      </c>
      <c r="L19" s="5">
        <v>8</v>
      </c>
      <c r="N19" s="5">
        <v>12</v>
      </c>
      <c r="O19" s="5">
        <v>7</v>
      </c>
      <c r="P19" s="5">
        <v>67</v>
      </c>
      <c r="Q19" s="5">
        <v>18</v>
      </c>
      <c r="R19" s="5">
        <v>31</v>
      </c>
      <c r="T19" s="5">
        <v>23</v>
      </c>
      <c r="U19" s="5">
        <v>37</v>
      </c>
      <c r="V19" s="5">
        <v>4</v>
      </c>
      <c r="W19" s="5">
        <v>6</v>
      </c>
      <c r="X19" s="5">
        <v>2</v>
      </c>
      <c r="Z19" s="51">
        <v>2</v>
      </c>
      <c r="AB19" s="51">
        <v>30</v>
      </c>
      <c r="AC19" s="51">
        <v>11</v>
      </c>
      <c r="AD19" s="51">
        <v>11</v>
      </c>
      <c r="AF19" s="51">
        <v>20</v>
      </c>
      <c r="AG19" s="51">
        <v>3</v>
      </c>
      <c r="AH19" s="51">
        <v>0</v>
      </c>
      <c r="AI19" s="51">
        <v>42</v>
      </c>
      <c r="AJ19" s="51">
        <v>2147</v>
      </c>
      <c r="AN19" s="1">
        <v>29</v>
      </c>
      <c r="AO19" s="1">
        <v>53</v>
      </c>
      <c r="AP19" s="1">
        <v>32</v>
      </c>
      <c r="AQ19" s="1">
        <v>36</v>
      </c>
      <c r="AR19" s="1">
        <v>34</v>
      </c>
      <c r="AS19" s="1">
        <v>32</v>
      </c>
      <c r="AT19" s="1">
        <v>29</v>
      </c>
      <c r="AU19" s="1">
        <v>45</v>
      </c>
      <c r="AV19" s="1">
        <v>35</v>
      </c>
      <c r="AW19" s="1">
        <v>27</v>
      </c>
      <c r="AX19" s="1">
        <v>26</v>
      </c>
      <c r="AY19" s="1">
        <v>29</v>
      </c>
      <c r="AZ19" s="1">
        <v>37</v>
      </c>
      <c r="BA19" s="1">
        <v>32</v>
      </c>
      <c r="BB19" s="1">
        <v>39</v>
      </c>
      <c r="BC19" s="1">
        <v>38</v>
      </c>
      <c r="BD19" s="1">
        <v>29</v>
      </c>
      <c r="BE19" s="1">
        <v>33</v>
      </c>
      <c r="BF19" s="1">
        <v>26</v>
      </c>
      <c r="BG19" s="1">
        <v>29</v>
      </c>
      <c r="BH19" s="1">
        <v>27</v>
      </c>
      <c r="BJ19" s="1">
        <v>35</v>
      </c>
      <c r="BK19" s="1">
        <v>34</v>
      </c>
      <c r="BL19" s="1">
        <v>29</v>
      </c>
      <c r="BM19" s="1">
        <v>38</v>
      </c>
      <c r="BN19" s="1">
        <v>30</v>
      </c>
      <c r="BO19" s="1">
        <v>31</v>
      </c>
      <c r="BP19" s="1">
        <v>32</v>
      </c>
      <c r="BQ19" s="1">
        <v>57</v>
      </c>
      <c r="CC19" s="1">
        <v>12</v>
      </c>
      <c r="CH19" s="1">
        <v>23</v>
      </c>
    </row>
    <row r="20" spans="1:97" x14ac:dyDescent="0.25">
      <c r="A20" s="4">
        <v>43870</v>
      </c>
      <c r="B20" s="5">
        <v>29</v>
      </c>
      <c r="C20" s="5">
        <v>11</v>
      </c>
      <c r="D20" s="5">
        <v>3</v>
      </c>
      <c r="E20" s="5">
        <v>7</v>
      </c>
      <c r="F20" s="5">
        <v>40</v>
      </c>
      <c r="H20" s="5">
        <v>46</v>
      </c>
      <c r="I20" s="5">
        <v>11</v>
      </c>
      <c r="J20" s="5">
        <v>36</v>
      </c>
      <c r="K20" s="5">
        <v>12</v>
      </c>
      <c r="L20" s="5">
        <v>10</v>
      </c>
      <c r="N20" s="5">
        <v>4</v>
      </c>
      <c r="O20" s="5">
        <v>7</v>
      </c>
      <c r="P20" s="5">
        <v>52</v>
      </c>
      <c r="Q20" s="5">
        <v>12</v>
      </c>
      <c r="R20" s="5">
        <v>35</v>
      </c>
      <c r="T20" s="5">
        <v>11</v>
      </c>
      <c r="U20" s="5">
        <v>42</v>
      </c>
      <c r="V20" s="5">
        <v>9</v>
      </c>
      <c r="W20" s="5">
        <v>2</v>
      </c>
      <c r="X20" s="5">
        <v>0</v>
      </c>
      <c r="Z20" s="51">
        <v>2</v>
      </c>
      <c r="AB20" s="51">
        <v>28</v>
      </c>
      <c r="AC20" s="51">
        <v>4</v>
      </c>
      <c r="AD20" s="51">
        <v>13</v>
      </c>
      <c r="AF20" s="51">
        <v>22</v>
      </c>
      <c r="AG20" s="51">
        <v>3</v>
      </c>
      <c r="AH20" s="51">
        <v>3</v>
      </c>
      <c r="AI20" s="51">
        <v>27</v>
      </c>
      <c r="AJ20" s="51">
        <v>2531</v>
      </c>
      <c r="AN20" s="1">
        <v>29</v>
      </c>
      <c r="AO20" s="1">
        <v>53</v>
      </c>
      <c r="AP20" s="1">
        <v>32</v>
      </c>
      <c r="AQ20" s="1">
        <v>36</v>
      </c>
      <c r="AR20" s="1">
        <v>34</v>
      </c>
      <c r="AS20" s="1">
        <v>32</v>
      </c>
      <c r="AT20" s="1">
        <v>29</v>
      </c>
      <c r="AU20" s="1">
        <v>45</v>
      </c>
      <c r="AV20" s="1">
        <v>35</v>
      </c>
      <c r="AW20" s="1">
        <v>27</v>
      </c>
      <c r="AX20" s="1">
        <v>26</v>
      </c>
      <c r="AY20" s="1">
        <v>29</v>
      </c>
      <c r="AZ20" s="1">
        <v>37</v>
      </c>
      <c r="BA20" s="1">
        <v>32</v>
      </c>
      <c r="BB20" s="1">
        <v>39</v>
      </c>
      <c r="BC20" s="1">
        <v>38</v>
      </c>
      <c r="BD20" s="1">
        <v>29</v>
      </c>
      <c r="BE20" s="1">
        <v>33</v>
      </c>
      <c r="BF20" s="1">
        <v>26</v>
      </c>
      <c r="BG20" s="1">
        <v>29</v>
      </c>
      <c r="BH20" s="1">
        <v>27</v>
      </c>
      <c r="BJ20" s="1">
        <v>35</v>
      </c>
      <c r="BK20" s="1">
        <v>34</v>
      </c>
      <c r="BL20" s="1">
        <v>29</v>
      </c>
      <c r="BM20" s="1">
        <v>38</v>
      </c>
      <c r="BN20" s="1">
        <v>30</v>
      </c>
      <c r="BO20" s="1">
        <v>31</v>
      </c>
      <c r="BP20" s="1">
        <v>32</v>
      </c>
      <c r="BQ20" s="1">
        <v>57</v>
      </c>
    </row>
    <row r="21" spans="1:97" x14ac:dyDescent="0.25">
      <c r="A21" s="4">
        <v>43871</v>
      </c>
      <c r="B21" s="5">
        <v>24</v>
      </c>
      <c r="C21" s="5">
        <v>11</v>
      </c>
      <c r="D21" s="5">
        <v>4</v>
      </c>
      <c r="E21" s="5">
        <v>6</v>
      </c>
      <c r="F21" s="5">
        <v>18</v>
      </c>
      <c r="H21" s="5">
        <v>51</v>
      </c>
      <c r="I21" s="5">
        <v>11</v>
      </c>
      <c r="J21" s="5">
        <v>28</v>
      </c>
      <c r="K21" s="5">
        <v>15</v>
      </c>
      <c r="L21" s="5">
        <v>10</v>
      </c>
      <c r="N21" s="5">
        <v>0</v>
      </c>
      <c r="O21" s="5">
        <v>7</v>
      </c>
      <c r="P21" s="5">
        <v>40</v>
      </c>
      <c r="Q21" s="5">
        <v>24</v>
      </c>
      <c r="R21" s="5">
        <v>41</v>
      </c>
      <c r="T21" s="5">
        <v>12</v>
      </c>
      <c r="U21" s="5">
        <v>31</v>
      </c>
      <c r="V21" s="5">
        <v>2</v>
      </c>
      <c r="W21" s="5">
        <v>1</v>
      </c>
      <c r="X21" s="5">
        <v>4</v>
      </c>
      <c r="Z21" s="51">
        <v>4</v>
      </c>
      <c r="AB21" s="51">
        <v>22</v>
      </c>
      <c r="AC21" s="51">
        <v>0</v>
      </c>
      <c r="AD21" s="51">
        <v>5</v>
      </c>
      <c r="AF21" s="51">
        <v>19</v>
      </c>
      <c r="AG21" s="51">
        <v>4</v>
      </c>
      <c r="AH21" s="51">
        <v>8</v>
      </c>
      <c r="AI21" s="51">
        <v>17</v>
      </c>
      <c r="AJ21" s="51">
        <v>2097</v>
      </c>
      <c r="AN21" s="1">
        <v>29</v>
      </c>
      <c r="AO21" s="1">
        <v>53</v>
      </c>
      <c r="AP21" s="1">
        <v>32</v>
      </c>
      <c r="AQ21" s="1">
        <v>36</v>
      </c>
      <c r="AR21" s="1">
        <v>34</v>
      </c>
      <c r="AS21" s="1">
        <v>32</v>
      </c>
      <c r="AT21" s="1">
        <v>29</v>
      </c>
      <c r="AU21" s="1">
        <v>45</v>
      </c>
      <c r="AV21" s="1">
        <v>35</v>
      </c>
      <c r="AW21" s="1">
        <v>27</v>
      </c>
      <c r="AX21" s="1">
        <v>26</v>
      </c>
      <c r="AY21" s="1">
        <v>29</v>
      </c>
      <c r="AZ21" s="1">
        <v>37</v>
      </c>
      <c r="BA21" s="1">
        <v>32</v>
      </c>
      <c r="BB21" s="1">
        <v>39</v>
      </c>
      <c r="BC21" s="1">
        <v>38</v>
      </c>
      <c r="BD21" s="1">
        <v>29</v>
      </c>
      <c r="BE21" s="1">
        <v>33</v>
      </c>
      <c r="BF21" s="1">
        <v>26</v>
      </c>
      <c r="BG21" s="1">
        <v>29</v>
      </c>
      <c r="BH21" s="1">
        <v>27</v>
      </c>
      <c r="BJ21" s="1">
        <v>35</v>
      </c>
      <c r="BK21" s="1">
        <v>34</v>
      </c>
      <c r="BL21" s="1">
        <v>29</v>
      </c>
      <c r="BM21" s="1">
        <v>38</v>
      </c>
      <c r="BN21" s="1">
        <v>30</v>
      </c>
      <c r="BO21" s="1">
        <v>31</v>
      </c>
      <c r="BP21" s="1">
        <v>32</v>
      </c>
      <c r="BQ21" s="1">
        <v>57</v>
      </c>
    </row>
    <row r="22" spans="1:97" x14ac:dyDescent="0.25">
      <c r="A22" s="4">
        <v>43872</v>
      </c>
      <c r="B22" s="5">
        <v>23</v>
      </c>
      <c r="C22" s="5">
        <v>5</v>
      </c>
      <c r="D22" s="5">
        <v>11</v>
      </c>
      <c r="E22" s="5">
        <v>4</v>
      </c>
      <c r="F22" s="5">
        <v>19</v>
      </c>
      <c r="H22" s="5">
        <v>30</v>
      </c>
      <c r="I22" s="5">
        <v>6</v>
      </c>
      <c r="J22" s="5">
        <v>18</v>
      </c>
      <c r="K22" s="5">
        <v>5</v>
      </c>
      <c r="L22" s="5">
        <v>18</v>
      </c>
      <c r="N22" s="5">
        <v>3</v>
      </c>
      <c r="O22" s="5">
        <v>6</v>
      </c>
      <c r="P22" s="5">
        <v>32</v>
      </c>
      <c r="Q22" s="5">
        <v>29</v>
      </c>
      <c r="R22" s="5">
        <v>33</v>
      </c>
      <c r="T22" s="5">
        <v>21</v>
      </c>
      <c r="U22" s="5">
        <v>33</v>
      </c>
      <c r="V22" s="5">
        <v>1</v>
      </c>
      <c r="W22" s="5">
        <v>3</v>
      </c>
      <c r="X22" s="5">
        <v>4</v>
      </c>
      <c r="Z22" s="51">
        <v>0</v>
      </c>
      <c r="AB22" s="51">
        <v>21</v>
      </c>
      <c r="AC22" s="51">
        <v>5</v>
      </c>
      <c r="AD22" s="51">
        <v>6</v>
      </c>
      <c r="AF22" s="51">
        <v>12</v>
      </c>
      <c r="AG22" s="51">
        <v>6</v>
      </c>
      <c r="AH22" s="51">
        <v>4</v>
      </c>
      <c r="AI22" s="51">
        <v>25</v>
      </c>
      <c r="AJ22" s="51">
        <v>1638</v>
      </c>
      <c r="AN22" s="1">
        <v>29</v>
      </c>
      <c r="AO22" s="1">
        <v>53</v>
      </c>
      <c r="AP22" s="1">
        <v>32</v>
      </c>
      <c r="AQ22" s="1">
        <v>36</v>
      </c>
      <c r="AR22" s="1">
        <v>34</v>
      </c>
      <c r="AS22" s="1">
        <v>32</v>
      </c>
      <c r="AT22" s="1">
        <v>29</v>
      </c>
      <c r="AU22" s="1">
        <v>45</v>
      </c>
      <c r="AV22" s="1">
        <v>35</v>
      </c>
      <c r="AW22" s="1">
        <v>27</v>
      </c>
      <c r="AX22" s="1">
        <v>26</v>
      </c>
      <c r="AY22" s="1">
        <v>29</v>
      </c>
      <c r="AZ22" s="1">
        <v>37</v>
      </c>
      <c r="BA22" s="1">
        <v>32</v>
      </c>
      <c r="BB22" s="1">
        <v>39</v>
      </c>
      <c r="BC22" s="1">
        <v>38</v>
      </c>
      <c r="BD22" s="1">
        <v>29</v>
      </c>
      <c r="BE22" s="1">
        <v>33</v>
      </c>
      <c r="BF22" s="1">
        <v>26</v>
      </c>
      <c r="BG22" s="1">
        <v>29</v>
      </c>
      <c r="BH22" s="1">
        <v>27</v>
      </c>
      <c r="BJ22" s="1">
        <v>35</v>
      </c>
      <c r="BK22" s="1">
        <v>34</v>
      </c>
      <c r="BL22" s="1">
        <v>29</v>
      </c>
      <c r="BM22" s="1">
        <v>38</v>
      </c>
      <c r="BN22" s="1">
        <v>30</v>
      </c>
      <c r="BO22" s="1">
        <v>31</v>
      </c>
      <c r="BP22" s="1">
        <v>32</v>
      </c>
      <c r="BQ22" s="1">
        <v>57</v>
      </c>
      <c r="CS22" s="1">
        <v>6</v>
      </c>
    </row>
    <row r="23" spans="1:97" x14ac:dyDescent="0.25">
      <c r="A23" s="4">
        <v>43873</v>
      </c>
      <c r="B23" s="5">
        <v>28</v>
      </c>
      <c r="C23" s="5">
        <v>10</v>
      </c>
      <c r="D23" s="5">
        <v>6</v>
      </c>
      <c r="E23" s="5">
        <v>8</v>
      </c>
      <c r="F23" s="5">
        <v>13</v>
      </c>
      <c r="H23" s="5">
        <v>29</v>
      </c>
      <c r="I23" s="5">
        <v>5</v>
      </c>
      <c r="J23" s="5">
        <v>42</v>
      </c>
      <c r="K23" s="5">
        <v>7</v>
      </c>
      <c r="L23" s="5">
        <v>6</v>
      </c>
      <c r="N23" s="5">
        <v>1</v>
      </c>
      <c r="O23" s="5">
        <v>13</v>
      </c>
      <c r="P23" s="5">
        <v>30</v>
      </c>
      <c r="Q23" s="5">
        <v>18</v>
      </c>
      <c r="R23" s="5">
        <v>34</v>
      </c>
      <c r="T23" s="5">
        <v>12</v>
      </c>
      <c r="U23" s="5">
        <v>40</v>
      </c>
      <c r="V23" s="5">
        <v>2</v>
      </c>
      <c r="W23" s="5">
        <v>5</v>
      </c>
      <c r="X23" s="5">
        <v>5</v>
      </c>
      <c r="Z23" s="51">
        <v>2</v>
      </c>
      <c r="AB23" s="51">
        <v>10</v>
      </c>
      <c r="AC23" s="51">
        <v>2</v>
      </c>
      <c r="AD23" s="51">
        <v>6</v>
      </c>
      <c r="AF23" s="51">
        <v>19</v>
      </c>
      <c r="AG23" s="51">
        <v>4</v>
      </c>
      <c r="AH23" s="51">
        <v>1</v>
      </c>
      <c r="AI23" s="51">
        <v>14</v>
      </c>
      <c r="AJ23" s="51">
        <v>0</v>
      </c>
      <c r="AN23" s="1">
        <v>29</v>
      </c>
      <c r="AO23" s="1">
        <v>53</v>
      </c>
      <c r="AP23" s="1">
        <v>32</v>
      </c>
      <c r="AQ23" s="1">
        <v>36</v>
      </c>
      <c r="AR23" s="1">
        <v>34</v>
      </c>
      <c r="AS23" s="1">
        <v>32</v>
      </c>
      <c r="AT23" s="1">
        <v>29</v>
      </c>
      <c r="AU23" s="1">
        <v>45</v>
      </c>
      <c r="AV23" s="1">
        <v>35</v>
      </c>
      <c r="AW23" s="1">
        <v>27</v>
      </c>
      <c r="AX23" s="1">
        <v>26</v>
      </c>
      <c r="AY23" s="1">
        <v>29</v>
      </c>
      <c r="AZ23" s="1">
        <v>37</v>
      </c>
      <c r="BA23" s="1">
        <v>32</v>
      </c>
      <c r="BB23" s="1">
        <v>39</v>
      </c>
      <c r="BC23" s="1">
        <v>38</v>
      </c>
      <c r="BD23" s="1">
        <v>29</v>
      </c>
      <c r="BE23" s="1">
        <v>33</v>
      </c>
      <c r="BF23" s="1">
        <v>26</v>
      </c>
      <c r="BG23" s="1">
        <v>29</v>
      </c>
      <c r="BH23" s="1">
        <v>27</v>
      </c>
      <c r="BJ23" s="1">
        <v>35</v>
      </c>
      <c r="BK23" s="1">
        <v>34</v>
      </c>
      <c r="BL23" s="1">
        <v>29</v>
      </c>
      <c r="BM23" s="1">
        <v>38</v>
      </c>
      <c r="BN23" s="1">
        <v>30</v>
      </c>
      <c r="BO23" s="1">
        <v>31</v>
      </c>
      <c r="BP23" s="1">
        <v>32</v>
      </c>
      <c r="BQ23" s="1">
        <v>57</v>
      </c>
    </row>
    <row r="24" spans="1:97" x14ac:dyDescent="0.25">
      <c r="A24" s="4">
        <v>43874</v>
      </c>
      <c r="B24" s="5">
        <v>27</v>
      </c>
      <c r="C24" s="5">
        <v>14</v>
      </c>
      <c r="D24" s="5">
        <v>7</v>
      </c>
      <c r="E24" s="5">
        <v>4</v>
      </c>
      <c r="F24" s="5">
        <v>11</v>
      </c>
      <c r="H24" s="5">
        <v>21</v>
      </c>
      <c r="I24" s="5">
        <v>7</v>
      </c>
      <c r="J24" s="5">
        <v>22</v>
      </c>
      <c r="K24" s="5">
        <v>0</v>
      </c>
      <c r="L24" s="5">
        <v>2</v>
      </c>
      <c r="N24" s="5">
        <v>3</v>
      </c>
      <c r="O24" s="5">
        <v>0</v>
      </c>
      <c r="P24" s="5">
        <v>34</v>
      </c>
      <c r="Q24" s="5">
        <v>17</v>
      </c>
      <c r="R24" s="5">
        <v>22</v>
      </c>
      <c r="T24" s="5">
        <v>14</v>
      </c>
      <c r="U24" s="5">
        <v>28</v>
      </c>
      <c r="V24" s="5">
        <v>1</v>
      </c>
      <c r="W24" s="5">
        <v>1</v>
      </c>
      <c r="X24" s="5">
        <v>6</v>
      </c>
      <c r="Z24" s="51">
        <v>1</v>
      </c>
      <c r="AB24" s="51">
        <v>12</v>
      </c>
      <c r="AC24" s="51">
        <v>0</v>
      </c>
      <c r="AD24" s="51">
        <v>4</v>
      </c>
      <c r="AF24" s="51">
        <v>15</v>
      </c>
      <c r="AG24" s="51">
        <v>4</v>
      </c>
      <c r="AH24" s="51">
        <v>2</v>
      </c>
      <c r="AI24" s="51">
        <v>14</v>
      </c>
      <c r="AJ24" s="51">
        <v>14840</v>
      </c>
      <c r="AK24" s="18"/>
      <c r="AL24" s="18"/>
      <c r="AN24" s="1">
        <v>29</v>
      </c>
      <c r="AO24" s="1">
        <v>53</v>
      </c>
      <c r="AP24" s="1">
        <v>32</v>
      </c>
      <c r="AQ24" s="1">
        <v>36</v>
      </c>
      <c r="AR24" s="1">
        <v>34</v>
      </c>
      <c r="AS24" s="1">
        <v>32</v>
      </c>
      <c r="AT24" s="1">
        <v>29</v>
      </c>
      <c r="AU24" s="1">
        <v>45</v>
      </c>
      <c r="AV24" s="1">
        <v>35</v>
      </c>
      <c r="AW24" s="1">
        <v>27</v>
      </c>
      <c r="AX24" s="1">
        <v>26</v>
      </c>
      <c r="AY24" s="1">
        <v>29</v>
      </c>
      <c r="AZ24" s="1">
        <v>37</v>
      </c>
      <c r="BA24" s="1">
        <v>32</v>
      </c>
      <c r="BB24" s="1">
        <v>39</v>
      </c>
      <c r="BC24" s="1">
        <v>38</v>
      </c>
      <c r="BD24" s="1">
        <v>29</v>
      </c>
      <c r="BE24" s="1">
        <v>33</v>
      </c>
      <c r="BF24" s="1">
        <v>26</v>
      </c>
      <c r="BG24" s="1">
        <v>29</v>
      </c>
      <c r="BH24" s="1">
        <v>27</v>
      </c>
      <c r="BJ24" s="1">
        <v>35</v>
      </c>
      <c r="BK24" s="1">
        <v>34</v>
      </c>
      <c r="BL24" s="1">
        <v>29</v>
      </c>
      <c r="BM24" s="1">
        <v>38</v>
      </c>
      <c r="BN24" s="1">
        <v>30</v>
      </c>
      <c r="BO24" s="1">
        <v>31</v>
      </c>
      <c r="BP24" s="1">
        <v>32</v>
      </c>
      <c r="BQ24" s="1">
        <v>57</v>
      </c>
    </row>
    <row r="25" spans="1:97" x14ac:dyDescent="0.25">
      <c r="A25" s="4">
        <v>43875</v>
      </c>
      <c r="B25" s="5">
        <v>23</v>
      </c>
      <c r="C25" s="5">
        <v>6</v>
      </c>
      <c r="D25" s="5">
        <v>1</v>
      </c>
      <c r="E25" s="5">
        <v>3</v>
      </c>
      <c r="F25" s="5">
        <v>8</v>
      </c>
      <c r="H25" s="5">
        <v>24</v>
      </c>
      <c r="I25" s="5">
        <v>2</v>
      </c>
      <c r="J25" s="5">
        <v>20</v>
      </c>
      <c r="K25" s="5">
        <v>4</v>
      </c>
      <c r="L25" s="5">
        <v>5</v>
      </c>
      <c r="N25" s="5">
        <v>0</v>
      </c>
      <c r="O25" s="5">
        <v>2</v>
      </c>
      <c r="P25" s="5">
        <v>15</v>
      </c>
      <c r="Q25" s="5">
        <v>24</v>
      </c>
      <c r="R25" s="5">
        <v>20</v>
      </c>
      <c r="T25" s="5">
        <v>18</v>
      </c>
      <c r="U25" s="5">
        <v>28</v>
      </c>
      <c r="V25" s="5">
        <v>2</v>
      </c>
      <c r="W25" s="5">
        <v>2</v>
      </c>
      <c r="X25" s="5">
        <v>3</v>
      </c>
      <c r="Z25" s="51">
        <v>4</v>
      </c>
      <c r="AB25" s="51">
        <v>14</v>
      </c>
      <c r="AC25" s="51">
        <v>1</v>
      </c>
      <c r="AD25" s="51">
        <v>1</v>
      </c>
      <c r="AF25" s="51">
        <v>12</v>
      </c>
      <c r="AG25" s="51">
        <v>2</v>
      </c>
      <c r="AH25" s="51">
        <v>6</v>
      </c>
      <c r="AI25" s="51">
        <v>10</v>
      </c>
      <c r="AJ25" s="51">
        <v>6200</v>
      </c>
      <c r="AN25" s="1">
        <v>29</v>
      </c>
      <c r="AO25" s="1">
        <v>53</v>
      </c>
      <c r="AP25" s="1">
        <v>32</v>
      </c>
      <c r="AQ25" s="1">
        <v>36</v>
      </c>
      <c r="AR25" s="1">
        <v>34</v>
      </c>
      <c r="AS25" s="1">
        <v>32</v>
      </c>
      <c r="AT25" s="1">
        <v>29</v>
      </c>
      <c r="AU25" s="1">
        <v>45</v>
      </c>
      <c r="AV25" s="1">
        <v>35</v>
      </c>
      <c r="AW25" s="1">
        <v>27</v>
      </c>
      <c r="AX25" s="1">
        <v>26</v>
      </c>
      <c r="AY25" s="1">
        <v>29</v>
      </c>
      <c r="AZ25" s="1">
        <v>37</v>
      </c>
      <c r="BA25" s="1">
        <v>32</v>
      </c>
      <c r="BB25" s="1">
        <v>39</v>
      </c>
      <c r="BC25" s="1">
        <v>38</v>
      </c>
      <c r="BD25" s="1">
        <v>29</v>
      </c>
      <c r="BE25" s="1">
        <v>33</v>
      </c>
      <c r="BF25" s="1">
        <v>26</v>
      </c>
      <c r="BG25" s="1">
        <v>29</v>
      </c>
      <c r="BH25" s="1">
        <v>27</v>
      </c>
      <c r="BJ25" s="1">
        <v>35</v>
      </c>
      <c r="BK25" s="1">
        <v>34</v>
      </c>
      <c r="BL25" s="1">
        <v>29</v>
      </c>
      <c r="BM25" s="1">
        <v>38</v>
      </c>
      <c r="BN25" s="1">
        <v>30</v>
      </c>
      <c r="BO25" s="1">
        <v>31</v>
      </c>
      <c r="BP25" s="1">
        <v>32</v>
      </c>
      <c r="BQ25" s="1">
        <v>57</v>
      </c>
    </row>
    <row r="26" spans="1:97" x14ac:dyDescent="0.25">
      <c r="A26" s="4">
        <v>43876</v>
      </c>
      <c r="B26" s="5">
        <v>11</v>
      </c>
      <c r="C26" s="5">
        <v>3</v>
      </c>
      <c r="D26" s="5">
        <v>2</v>
      </c>
      <c r="E26" s="5">
        <v>8</v>
      </c>
      <c r="F26" s="5">
        <v>7</v>
      </c>
      <c r="H26" s="5">
        <v>16</v>
      </c>
      <c r="I26" s="5">
        <v>4</v>
      </c>
      <c r="J26" s="5">
        <v>33</v>
      </c>
      <c r="K26" s="5">
        <v>9</v>
      </c>
      <c r="L26" s="5">
        <v>3</v>
      </c>
      <c r="N26" s="5">
        <v>0</v>
      </c>
      <c r="O26" s="5">
        <v>3</v>
      </c>
      <c r="P26" s="5">
        <v>28</v>
      </c>
      <c r="Q26" s="5">
        <v>6</v>
      </c>
      <c r="R26" s="5">
        <v>13</v>
      </c>
      <c r="T26" s="5">
        <v>8</v>
      </c>
      <c r="U26" s="5">
        <v>13</v>
      </c>
      <c r="V26" s="5">
        <v>2</v>
      </c>
      <c r="W26" s="5">
        <v>0</v>
      </c>
      <c r="X26" s="5">
        <v>3</v>
      </c>
      <c r="Z26" s="51">
        <v>3</v>
      </c>
      <c r="AB26" s="51">
        <v>9</v>
      </c>
      <c r="AC26" s="51">
        <v>1</v>
      </c>
      <c r="AD26" s="51">
        <v>2</v>
      </c>
      <c r="AF26" s="51">
        <v>7</v>
      </c>
      <c r="AG26" s="51">
        <v>5</v>
      </c>
      <c r="AH26" s="51">
        <v>6</v>
      </c>
      <c r="AI26" s="51">
        <v>7</v>
      </c>
      <c r="AJ26" s="51">
        <v>1843</v>
      </c>
      <c r="AN26" s="1">
        <v>29</v>
      </c>
      <c r="AO26" s="1">
        <v>53</v>
      </c>
      <c r="AP26" s="1">
        <v>32</v>
      </c>
      <c r="AQ26" s="1">
        <v>36</v>
      </c>
      <c r="AR26" s="1">
        <v>34</v>
      </c>
      <c r="AS26" s="1">
        <v>32</v>
      </c>
      <c r="AT26" s="1">
        <v>29</v>
      </c>
      <c r="AU26" s="1">
        <v>45</v>
      </c>
      <c r="AV26" s="1">
        <v>35</v>
      </c>
      <c r="AW26" s="1">
        <v>27</v>
      </c>
      <c r="AX26" s="1">
        <v>26</v>
      </c>
      <c r="AY26" s="1">
        <v>29</v>
      </c>
      <c r="AZ26" s="1">
        <v>37</v>
      </c>
      <c r="BA26" s="1">
        <v>32</v>
      </c>
      <c r="BB26" s="1">
        <v>39</v>
      </c>
      <c r="BC26" s="1">
        <v>38</v>
      </c>
      <c r="BD26" s="1">
        <v>29</v>
      </c>
      <c r="BE26" s="1">
        <v>33</v>
      </c>
      <c r="BF26" s="1">
        <v>26</v>
      </c>
      <c r="BG26" s="1">
        <v>29</v>
      </c>
      <c r="BH26" s="1">
        <v>27</v>
      </c>
      <c r="BJ26" s="1">
        <v>35</v>
      </c>
      <c r="BK26" s="1">
        <v>34</v>
      </c>
      <c r="BL26" s="1">
        <v>29</v>
      </c>
      <c r="BM26" s="1">
        <v>38</v>
      </c>
      <c r="BN26" s="1">
        <v>30</v>
      </c>
      <c r="BO26" s="1">
        <v>31</v>
      </c>
      <c r="BP26" s="1">
        <v>32</v>
      </c>
      <c r="BQ26" s="1">
        <v>57</v>
      </c>
    </row>
    <row r="27" spans="1:97" x14ac:dyDescent="0.25">
      <c r="A27" s="4">
        <v>43877</v>
      </c>
      <c r="B27" s="5">
        <v>13</v>
      </c>
      <c r="C27" s="5">
        <v>5</v>
      </c>
      <c r="D27" s="5">
        <v>2</v>
      </c>
      <c r="E27" s="5">
        <v>2</v>
      </c>
      <c r="F27" s="5">
        <v>7</v>
      </c>
      <c r="H27" s="5">
        <v>12</v>
      </c>
      <c r="I27" s="5">
        <v>2</v>
      </c>
      <c r="J27" s="5">
        <v>22</v>
      </c>
      <c r="K27" s="5">
        <v>2</v>
      </c>
      <c r="L27" s="5">
        <v>1</v>
      </c>
      <c r="N27" s="5">
        <v>0</v>
      </c>
      <c r="O27" s="5">
        <v>0</v>
      </c>
      <c r="P27" s="5">
        <v>19</v>
      </c>
      <c r="Q27" s="5">
        <v>20</v>
      </c>
      <c r="R27" s="5">
        <v>3</v>
      </c>
      <c r="T27" s="5">
        <v>9</v>
      </c>
      <c r="U27" s="5">
        <v>12</v>
      </c>
      <c r="V27" s="5">
        <v>1</v>
      </c>
      <c r="W27" s="5">
        <v>2</v>
      </c>
      <c r="X27" s="5">
        <v>0</v>
      </c>
      <c r="Z27" s="51">
        <v>2</v>
      </c>
      <c r="AB27" s="51">
        <v>5</v>
      </c>
      <c r="AC27" s="51">
        <v>1</v>
      </c>
      <c r="AD27" s="51">
        <v>4</v>
      </c>
      <c r="AF27" s="51">
        <v>11</v>
      </c>
      <c r="AG27" s="51">
        <v>1</v>
      </c>
      <c r="AH27" s="51">
        <v>3</v>
      </c>
      <c r="AI27" s="51">
        <v>5</v>
      </c>
      <c r="AJ27" s="51">
        <v>1933</v>
      </c>
      <c r="AN27" s="1">
        <v>29</v>
      </c>
      <c r="AO27" s="1">
        <v>53</v>
      </c>
      <c r="AP27" s="1">
        <v>32</v>
      </c>
      <c r="AQ27" s="1">
        <v>36</v>
      </c>
      <c r="AR27" s="1">
        <v>34</v>
      </c>
      <c r="AS27" s="1">
        <v>32</v>
      </c>
      <c r="AT27" s="1">
        <v>29</v>
      </c>
      <c r="AU27" s="1">
        <v>45</v>
      </c>
      <c r="AV27" s="1">
        <v>35</v>
      </c>
      <c r="AW27" s="1">
        <v>27</v>
      </c>
      <c r="AX27" s="1">
        <v>26</v>
      </c>
      <c r="AY27" s="1">
        <v>29</v>
      </c>
      <c r="AZ27" s="1">
        <v>37</v>
      </c>
      <c r="BA27" s="1">
        <v>32</v>
      </c>
      <c r="BB27" s="1">
        <v>39</v>
      </c>
      <c r="BC27" s="1">
        <v>38</v>
      </c>
      <c r="BD27" s="1">
        <v>29</v>
      </c>
      <c r="BE27" s="1">
        <v>33</v>
      </c>
      <c r="BF27" s="1">
        <v>26</v>
      </c>
      <c r="BG27" s="1">
        <v>29</v>
      </c>
      <c r="BH27" s="1">
        <v>27</v>
      </c>
      <c r="BJ27" s="1">
        <v>35</v>
      </c>
      <c r="BK27" s="1">
        <v>34</v>
      </c>
      <c r="BL27" s="1">
        <v>29</v>
      </c>
      <c r="BM27" s="1">
        <v>38</v>
      </c>
      <c r="BN27" s="1">
        <v>30</v>
      </c>
      <c r="BO27" s="1">
        <v>31</v>
      </c>
      <c r="BP27" s="1">
        <v>32</v>
      </c>
      <c r="BQ27" s="1">
        <v>57</v>
      </c>
    </row>
    <row r="28" spans="1:97" x14ac:dyDescent="0.25">
      <c r="A28" s="4">
        <v>43878</v>
      </c>
      <c r="B28" s="5">
        <v>9</v>
      </c>
      <c r="C28" s="5">
        <v>1</v>
      </c>
      <c r="D28" s="5">
        <v>1</v>
      </c>
      <c r="E28" s="5">
        <v>5</v>
      </c>
      <c r="F28" s="5">
        <v>2</v>
      </c>
      <c r="H28" s="5">
        <v>11</v>
      </c>
      <c r="I28" s="5">
        <v>3</v>
      </c>
      <c r="J28" s="5">
        <v>6</v>
      </c>
      <c r="K28" s="5">
        <v>1</v>
      </c>
      <c r="L28" s="5">
        <v>2</v>
      </c>
      <c r="N28" s="5">
        <v>1</v>
      </c>
      <c r="O28" s="5">
        <v>1</v>
      </c>
      <c r="P28" s="5">
        <v>15</v>
      </c>
      <c r="Q28" s="5">
        <v>12</v>
      </c>
      <c r="R28" s="5">
        <v>2</v>
      </c>
      <c r="T28" s="5">
        <v>1</v>
      </c>
      <c r="U28" s="5">
        <v>5</v>
      </c>
      <c r="V28" s="5">
        <v>0</v>
      </c>
      <c r="X28" s="5">
        <v>0</v>
      </c>
      <c r="Z28" s="51">
        <v>2</v>
      </c>
      <c r="AB28" s="51">
        <v>4</v>
      </c>
      <c r="AC28" s="51">
        <v>1</v>
      </c>
      <c r="AD28" s="51">
        <v>4</v>
      </c>
      <c r="AF28" s="51">
        <v>14</v>
      </c>
      <c r="AG28" s="51">
        <v>4</v>
      </c>
      <c r="AH28" s="51">
        <v>0</v>
      </c>
      <c r="AI28" s="51">
        <v>4</v>
      </c>
      <c r="AJ28" s="51">
        <v>1807</v>
      </c>
      <c r="AN28" s="1">
        <v>29</v>
      </c>
      <c r="AO28" s="1">
        <v>53</v>
      </c>
      <c r="AP28" s="1">
        <v>32</v>
      </c>
      <c r="AQ28" s="1">
        <v>36</v>
      </c>
      <c r="AR28" s="1">
        <v>34</v>
      </c>
      <c r="AS28" s="1">
        <v>32</v>
      </c>
      <c r="AT28" s="1">
        <v>29</v>
      </c>
      <c r="AU28" s="1">
        <v>45</v>
      </c>
      <c r="AV28" s="1">
        <v>35</v>
      </c>
      <c r="AW28" s="1">
        <v>27</v>
      </c>
      <c r="AX28" s="1">
        <v>26</v>
      </c>
      <c r="AY28" s="1">
        <v>29</v>
      </c>
      <c r="AZ28" s="1">
        <v>37</v>
      </c>
      <c r="BA28" s="1">
        <v>32</v>
      </c>
      <c r="BB28" s="1">
        <v>39</v>
      </c>
      <c r="BC28" s="1">
        <v>38</v>
      </c>
      <c r="BD28" s="1">
        <v>29</v>
      </c>
      <c r="BE28" s="1">
        <v>33</v>
      </c>
      <c r="BG28" s="1">
        <v>29</v>
      </c>
      <c r="BH28" s="1">
        <v>27</v>
      </c>
      <c r="BJ28" s="1">
        <v>35</v>
      </c>
      <c r="BK28" s="1">
        <v>34</v>
      </c>
      <c r="BL28" s="1">
        <v>29</v>
      </c>
      <c r="BM28" s="1">
        <v>38</v>
      </c>
      <c r="BN28" s="1">
        <v>30</v>
      </c>
      <c r="BO28" s="1">
        <v>31</v>
      </c>
      <c r="BP28" s="1">
        <v>32</v>
      </c>
      <c r="BQ28" s="1">
        <v>57</v>
      </c>
    </row>
    <row r="29" spans="1:97" x14ac:dyDescent="0.25">
      <c r="A29" s="4">
        <v>43879</v>
      </c>
      <c r="B29" s="5">
        <v>3</v>
      </c>
      <c r="C29" s="5">
        <v>6</v>
      </c>
      <c r="D29" s="5">
        <v>3</v>
      </c>
      <c r="E29" s="5">
        <v>0</v>
      </c>
      <c r="F29" s="5">
        <v>2</v>
      </c>
      <c r="H29" s="5">
        <v>9</v>
      </c>
      <c r="I29" s="5">
        <v>2</v>
      </c>
      <c r="J29" s="5">
        <v>6</v>
      </c>
      <c r="K29" s="5">
        <v>4</v>
      </c>
      <c r="O29" s="5">
        <v>0</v>
      </c>
      <c r="P29" s="5">
        <v>11</v>
      </c>
      <c r="Q29" s="5">
        <v>7</v>
      </c>
      <c r="R29" s="5">
        <v>1</v>
      </c>
      <c r="T29" s="5">
        <v>5</v>
      </c>
      <c r="U29" s="5">
        <v>3</v>
      </c>
      <c r="V29" s="5">
        <v>0</v>
      </c>
      <c r="X29" s="5">
        <v>0</v>
      </c>
      <c r="Z29" s="51">
        <v>1</v>
      </c>
      <c r="AB29" s="51">
        <v>2</v>
      </c>
      <c r="AC29" s="51">
        <v>1</v>
      </c>
      <c r="AD29" s="51">
        <v>0</v>
      </c>
      <c r="AF29" s="51">
        <v>13</v>
      </c>
      <c r="AG29" s="51">
        <v>1</v>
      </c>
      <c r="AH29" s="51">
        <v>1</v>
      </c>
      <c r="AI29" s="51">
        <v>1</v>
      </c>
      <c r="AJ29" s="51">
        <v>1693</v>
      </c>
      <c r="AN29" s="1">
        <v>29</v>
      </c>
      <c r="AO29" s="1">
        <v>53</v>
      </c>
      <c r="AP29" s="1">
        <v>32</v>
      </c>
      <c r="AQ29" s="1">
        <v>36</v>
      </c>
      <c r="AR29" s="1">
        <v>34</v>
      </c>
      <c r="AS29" s="1">
        <v>32</v>
      </c>
      <c r="AT29" s="1">
        <v>29</v>
      </c>
      <c r="AU29" s="1">
        <v>45</v>
      </c>
      <c r="AV29" s="1">
        <v>35</v>
      </c>
      <c r="AY29" s="1">
        <v>29</v>
      </c>
      <c r="AZ29" s="1">
        <v>37</v>
      </c>
      <c r="BA29" s="1">
        <v>32</v>
      </c>
      <c r="BB29" s="1">
        <v>39</v>
      </c>
      <c r="BC29" s="1">
        <v>38</v>
      </c>
      <c r="BD29" s="1">
        <v>29</v>
      </c>
      <c r="BE29" s="1">
        <v>33</v>
      </c>
      <c r="BG29" s="1">
        <v>29</v>
      </c>
      <c r="BH29" s="1">
        <v>27</v>
      </c>
      <c r="BJ29" s="1">
        <v>35</v>
      </c>
      <c r="BK29" s="1">
        <v>34</v>
      </c>
      <c r="BL29" s="1">
        <v>29</v>
      </c>
      <c r="BM29" s="1">
        <v>38</v>
      </c>
      <c r="BN29" s="1">
        <v>30</v>
      </c>
      <c r="BO29" s="1">
        <v>31</v>
      </c>
      <c r="BP29" s="1">
        <v>32</v>
      </c>
      <c r="BQ29" s="1">
        <v>57</v>
      </c>
    </row>
    <row r="30" spans="1:97" x14ac:dyDescent="0.25">
      <c r="A30" s="4">
        <v>43880</v>
      </c>
      <c r="B30" s="5">
        <v>2</v>
      </c>
      <c r="C30" s="5">
        <v>6</v>
      </c>
      <c r="D30" s="5">
        <v>2</v>
      </c>
      <c r="E30" s="5">
        <v>0</v>
      </c>
      <c r="F30" s="5">
        <v>5</v>
      </c>
      <c r="H30" s="5">
        <v>4</v>
      </c>
      <c r="I30" s="5">
        <v>1</v>
      </c>
      <c r="J30" s="5">
        <v>3</v>
      </c>
      <c r="K30" s="5">
        <v>2</v>
      </c>
      <c r="O30" s="5">
        <v>5</v>
      </c>
      <c r="P30" s="5">
        <v>5</v>
      </c>
      <c r="Q30" s="5">
        <v>6</v>
      </c>
      <c r="R30" s="5">
        <v>1</v>
      </c>
      <c r="T30" s="5">
        <v>0</v>
      </c>
      <c r="U30" s="5">
        <v>1</v>
      </c>
      <c r="V30" s="5">
        <v>1</v>
      </c>
      <c r="X30" s="5">
        <v>1</v>
      </c>
      <c r="Z30" s="51">
        <v>2</v>
      </c>
      <c r="AB30" s="51">
        <v>1</v>
      </c>
      <c r="AC30" s="51">
        <v>0</v>
      </c>
      <c r="AD30" s="51">
        <v>2</v>
      </c>
      <c r="AF30" s="51">
        <v>6</v>
      </c>
      <c r="AG30" s="51">
        <v>0</v>
      </c>
      <c r="AH30" s="51">
        <v>0</v>
      </c>
      <c r="AI30" s="51">
        <v>2</v>
      </c>
      <c r="AJ30" s="51">
        <v>349</v>
      </c>
      <c r="AN30" s="1">
        <v>29</v>
      </c>
      <c r="AO30" s="1">
        <v>53</v>
      </c>
      <c r="AP30" s="1">
        <v>32</v>
      </c>
      <c r="AQ30" s="1">
        <v>36</v>
      </c>
      <c r="AR30" s="1">
        <v>34</v>
      </c>
      <c r="AS30" s="1">
        <v>32</v>
      </c>
      <c r="AT30" s="1">
        <v>29</v>
      </c>
      <c r="AU30" s="1">
        <v>45</v>
      </c>
      <c r="AV30" s="1">
        <v>35</v>
      </c>
      <c r="AY30" s="1">
        <v>29</v>
      </c>
      <c r="AZ30" s="1">
        <v>37</v>
      </c>
      <c r="BA30" s="1">
        <v>32</v>
      </c>
      <c r="BB30" s="1">
        <v>39</v>
      </c>
      <c r="BC30" s="1">
        <v>38</v>
      </c>
      <c r="BD30" s="1">
        <v>29</v>
      </c>
      <c r="BE30" s="1">
        <v>33</v>
      </c>
      <c r="BG30" s="1">
        <v>29</v>
      </c>
      <c r="BH30" s="1">
        <v>27</v>
      </c>
      <c r="BJ30" s="1">
        <v>35</v>
      </c>
      <c r="BK30" s="1">
        <v>34</v>
      </c>
      <c r="BL30" s="1">
        <v>29</v>
      </c>
      <c r="BM30" s="1">
        <v>38</v>
      </c>
      <c r="BN30" s="1">
        <v>30</v>
      </c>
      <c r="BO30" s="1">
        <v>31</v>
      </c>
      <c r="BP30" s="1">
        <v>32</v>
      </c>
      <c r="BQ30" s="1">
        <v>57</v>
      </c>
    </row>
    <row r="31" spans="1:97" x14ac:dyDescent="0.25">
      <c r="A31" s="4">
        <v>43881</v>
      </c>
      <c r="C31" s="5">
        <v>2</v>
      </c>
      <c r="D31" s="5">
        <v>1</v>
      </c>
      <c r="E31" s="5">
        <v>1</v>
      </c>
      <c r="F31" s="5">
        <v>7</v>
      </c>
      <c r="H31" s="5">
        <v>1</v>
      </c>
      <c r="J31" s="5">
        <v>1</v>
      </c>
      <c r="K31" s="5">
        <v>1</v>
      </c>
      <c r="P31" s="5">
        <v>3</v>
      </c>
      <c r="Q31" s="5">
        <v>6</v>
      </c>
      <c r="R31" s="5">
        <v>2</v>
      </c>
      <c r="T31" s="5">
        <v>1</v>
      </c>
      <c r="V31" s="5">
        <v>1</v>
      </c>
      <c r="AB31" s="51">
        <v>2</v>
      </c>
      <c r="AC31" s="51">
        <v>1</v>
      </c>
      <c r="AD31" s="51">
        <v>3</v>
      </c>
      <c r="AF31" s="51">
        <v>6</v>
      </c>
      <c r="AG31" s="51">
        <v>0</v>
      </c>
      <c r="AH31" s="51">
        <v>2</v>
      </c>
      <c r="AI31" s="51">
        <v>1</v>
      </c>
      <c r="AJ31" s="51">
        <v>411</v>
      </c>
      <c r="AO31" s="1">
        <v>53</v>
      </c>
      <c r="AP31" s="1">
        <v>32</v>
      </c>
      <c r="AQ31" s="1">
        <v>36</v>
      </c>
      <c r="AR31" s="1">
        <v>34</v>
      </c>
      <c r="AS31" s="1">
        <v>32</v>
      </c>
      <c r="AU31" s="1">
        <v>45</v>
      </c>
      <c r="AV31" s="1">
        <v>35</v>
      </c>
      <c r="AZ31" s="1">
        <v>37</v>
      </c>
      <c r="BA31" s="1">
        <v>32</v>
      </c>
      <c r="BB31" s="1">
        <v>39</v>
      </c>
      <c r="BC31" s="1">
        <v>38</v>
      </c>
      <c r="BE31" s="1">
        <v>33</v>
      </c>
      <c r="BJ31" s="1">
        <v>35</v>
      </c>
      <c r="BK31" s="1">
        <v>34</v>
      </c>
      <c r="BL31" s="1">
        <v>29</v>
      </c>
      <c r="BM31" s="1">
        <v>38</v>
      </c>
      <c r="BN31" s="1">
        <v>30</v>
      </c>
      <c r="BO31" s="1">
        <v>31</v>
      </c>
      <c r="BP31" s="1">
        <v>32</v>
      </c>
      <c r="BQ31" s="1">
        <v>57</v>
      </c>
    </row>
    <row r="32" spans="1:97" x14ac:dyDescent="0.25">
      <c r="A32" s="4">
        <v>43882</v>
      </c>
      <c r="C32" s="5">
        <v>1</v>
      </c>
      <c r="D32" s="5">
        <v>2</v>
      </c>
      <c r="E32" s="5">
        <v>2</v>
      </c>
      <c r="F32" s="5">
        <v>5</v>
      </c>
      <c r="H32" s="5">
        <v>1</v>
      </c>
      <c r="J32" s="5">
        <v>1</v>
      </c>
      <c r="K32" s="5">
        <v>1</v>
      </c>
      <c r="P32" s="5">
        <v>2</v>
      </c>
      <c r="Q32" s="5">
        <v>3</v>
      </c>
      <c r="R32" s="5">
        <v>1</v>
      </c>
      <c r="T32" s="5">
        <v>1</v>
      </c>
      <c r="V32" s="5">
        <v>0</v>
      </c>
      <c r="AB32" s="51">
        <v>2</v>
      </c>
      <c r="AC32" s="51">
        <v>2</v>
      </c>
      <c r="AF32" s="51">
        <v>2</v>
      </c>
      <c r="AG32" s="51">
        <v>2</v>
      </c>
      <c r="AH32" s="51">
        <v>2</v>
      </c>
      <c r="AI32" s="51">
        <v>2</v>
      </c>
      <c r="AJ32" s="51">
        <v>220</v>
      </c>
      <c r="AO32" s="1">
        <v>53</v>
      </c>
      <c r="AP32" s="1">
        <v>32</v>
      </c>
      <c r="AQ32" s="1">
        <v>36</v>
      </c>
      <c r="AR32" s="1">
        <v>34</v>
      </c>
      <c r="AS32" s="1">
        <v>32</v>
      </c>
      <c r="AU32" s="1">
        <v>45</v>
      </c>
      <c r="AV32" s="1">
        <v>35</v>
      </c>
      <c r="AZ32" s="1">
        <v>37</v>
      </c>
      <c r="BA32" s="1">
        <v>32</v>
      </c>
      <c r="BB32" s="1">
        <v>39</v>
      </c>
      <c r="BC32" s="1">
        <v>38</v>
      </c>
      <c r="BE32" s="1">
        <v>33</v>
      </c>
      <c r="BJ32" s="1">
        <v>35</v>
      </c>
      <c r="BK32" s="1">
        <v>34</v>
      </c>
      <c r="BM32" s="1">
        <v>38</v>
      </c>
      <c r="BN32" s="1">
        <v>30</v>
      </c>
      <c r="BO32" s="1">
        <v>31</v>
      </c>
      <c r="BP32" s="1">
        <v>32</v>
      </c>
      <c r="BQ32" s="1">
        <v>57</v>
      </c>
    </row>
    <row r="33" spans="1:69" x14ac:dyDescent="0.25">
      <c r="A33" s="4">
        <v>43883</v>
      </c>
      <c r="C33" s="5">
        <v>3</v>
      </c>
      <c r="D33" s="5">
        <v>3</v>
      </c>
      <c r="E33" s="5">
        <v>1</v>
      </c>
      <c r="F33" s="5">
        <v>1</v>
      </c>
      <c r="H33" s="5">
        <v>1</v>
      </c>
      <c r="J33" s="5">
        <v>6</v>
      </c>
      <c r="K33" s="5">
        <v>3</v>
      </c>
      <c r="P33" s="5">
        <v>3</v>
      </c>
      <c r="Q33" s="5">
        <v>0</v>
      </c>
      <c r="R33" s="5">
        <v>2</v>
      </c>
      <c r="T33" s="5">
        <v>1</v>
      </c>
      <c r="V33" s="5">
        <v>0</v>
      </c>
      <c r="AB33" s="51">
        <v>1</v>
      </c>
      <c r="AC33" s="51">
        <v>0</v>
      </c>
      <c r="AF33" s="51">
        <v>1</v>
      </c>
      <c r="AI33" s="51">
        <v>2</v>
      </c>
      <c r="AJ33" s="51">
        <v>1422</v>
      </c>
      <c r="AO33" s="1">
        <v>53</v>
      </c>
      <c r="AP33" s="1">
        <v>32</v>
      </c>
      <c r="AQ33" s="1">
        <v>36</v>
      </c>
      <c r="AR33" s="1">
        <v>34</v>
      </c>
      <c r="AS33" s="1">
        <v>32</v>
      </c>
      <c r="AU33" s="1">
        <v>45</v>
      </c>
      <c r="AV33" s="1">
        <v>35</v>
      </c>
      <c r="AZ33" s="1">
        <v>37</v>
      </c>
      <c r="BA33" s="1">
        <v>32</v>
      </c>
      <c r="BB33" s="1">
        <v>39</v>
      </c>
      <c r="BC33" s="1">
        <v>38</v>
      </c>
      <c r="BE33" s="1">
        <v>33</v>
      </c>
      <c r="BJ33" s="1">
        <v>35</v>
      </c>
      <c r="BK33" s="1">
        <v>34</v>
      </c>
      <c r="BM33" s="1">
        <v>38</v>
      </c>
      <c r="BP33" s="1">
        <v>32</v>
      </c>
      <c r="BQ33" s="1">
        <v>57</v>
      </c>
    </row>
    <row r="34" spans="1:69" x14ac:dyDescent="0.25">
      <c r="A34" s="4">
        <v>43884</v>
      </c>
      <c r="C34" s="5">
        <v>0</v>
      </c>
      <c r="E34" s="5">
        <v>0</v>
      </c>
      <c r="F34" s="5">
        <v>2</v>
      </c>
      <c r="J34" s="5">
        <v>3</v>
      </c>
      <c r="K34" s="5">
        <v>0</v>
      </c>
      <c r="P34" s="5">
        <v>1</v>
      </c>
      <c r="Q34" s="5">
        <v>1</v>
      </c>
      <c r="R34" s="5">
        <v>3</v>
      </c>
      <c r="T34" s="5">
        <v>2</v>
      </c>
      <c r="V34" s="5">
        <v>0</v>
      </c>
      <c r="AB34" s="51">
        <v>4</v>
      </c>
      <c r="AC34" s="51">
        <v>0</v>
      </c>
      <c r="AF34" s="51">
        <v>0</v>
      </c>
      <c r="AJ34" s="51">
        <v>0</v>
      </c>
      <c r="AO34" s="1">
        <v>53</v>
      </c>
      <c r="AQ34" s="1">
        <v>36</v>
      </c>
      <c r="AR34" s="1">
        <v>34</v>
      </c>
      <c r="AU34" s="1">
        <v>45</v>
      </c>
      <c r="AV34" s="1">
        <v>35</v>
      </c>
      <c r="AZ34" s="1">
        <v>37</v>
      </c>
      <c r="BA34" s="1">
        <v>32</v>
      </c>
      <c r="BB34" s="1">
        <v>39</v>
      </c>
      <c r="BC34" s="1">
        <v>38</v>
      </c>
      <c r="BE34" s="1">
        <v>33</v>
      </c>
      <c r="BJ34" s="1">
        <v>35</v>
      </c>
      <c r="BK34" s="1">
        <v>34</v>
      </c>
      <c r="BM34" s="1">
        <v>38</v>
      </c>
      <c r="BQ34" s="1">
        <v>57</v>
      </c>
    </row>
    <row r="35" spans="1:69" x14ac:dyDescent="0.25">
      <c r="A35" s="4">
        <v>43885</v>
      </c>
      <c r="C35" s="5">
        <v>0</v>
      </c>
      <c r="E35" s="5">
        <v>0</v>
      </c>
      <c r="F35" s="5">
        <v>1</v>
      </c>
      <c r="J35" s="5">
        <v>3</v>
      </c>
      <c r="K35" s="5">
        <v>2</v>
      </c>
      <c r="P35" s="5">
        <v>0</v>
      </c>
      <c r="R35" s="5">
        <v>0</v>
      </c>
      <c r="T35" s="5">
        <v>0</v>
      </c>
      <c r="V35" s="5">
        <v>2</v>
      </c>
      <c r="AB35" s="51">
        <v>1</v>
      </c>
      <c r="AC35" s="51">
        <v>1</v>
      </c>
      <c r="AF35" s="51">
        <v>1</v>
      </c>
      <c r="AJ35" s="51">
        <v>203</v>
      </c>
      <c r="AO35" s="1">
        <v>53</v>
      </c>
      <c r="AQ35" s="1">
        <v>36</v>
      </c>
      <c r="AR35" s="1">
        <v>34</v>
      </c>
      <c r="AU35" s="1">
        <v>45</v>
      </c>
      <c r="AV35" s="1">
        <v>35</v>
      </c>
      <c r="AZ35" s="1">
        <v>37</v>
      </c>
      <c r="BB35" s="1">
        <v>39</v>
      </c>
      <c r="BC35" s="1">
        <v>38</v>
      </c>
      <c r="BE35" s="1">
        <v>33</v>
      </c>
      <c r="BJ35" s="1">
        <v>35</v>
      </c>
      <c r="BK35" s="1">
        <v>34</v>
      </c>
      <c r="BM35" s="1">
        <v>38</v>
      </c>
      <c r="BQ35" s="1">
        <v>57</v>
      </c>
    </row>
    <row r="36" spans="1:69" x14ac:dyDescent="0.25">
      <c r="A36" s="4">
        <v>43886</v>
      </c>
      <c r="C36" s="5">
        <v>1</v>
      </c>
      <c r="E36" s="5">
        <v>1</v>
      </c>
      <c r="J36" s="5">
        <v>2</v>
      </c>
      <c r="K36" s="5">
        <v>1</v>
      </c>
      <c r="P36" s="5">
        <v>0</v>
      </c>
      <c r="R36" s="5">
        <v>0</v>
      </c>
      <c r="T36" s="5">
        <v>0</v>
      </c>
      <c r="AB36" s="51">
        <v>1</v>
      </c>
      <c r="AF36" s="51">
        <v>2</v>
      </c>
      <c r="AJ36" s="51">
        <v>499</v>
      </c>
      <c r="AO36" s="1">
        <v>53</v>
      </c>
      <c r="AQ36" s="1">
        <v>36</v>
      </c>
      <c r="AU36" s="1">
        <v>45</v>
      </c>
      <c r="AV36" s="1">
        <v>35</v>
      </c>
      <c r="AZ36" s="1">
        <v>37</v>
      </c>
      <c r="BB36" s="1">
        <v>39</v>
      </c>
      <c r="BC36" s="1">
        <v>38</v>
      </c>
      <c r="BJ36" s="1">
        <v>35</v>
      </c>
      <c r="BM36" s="1">
        <v>38</v>
      </c>
      <c r="BQ36" s="1">
        <v>57</v>
      </c>
    </row>
    <row r="37" spans="1:69" x14ac:dyDescent="0.25">
      <c r="A37" s="4">
        <v>43887</v>
      </c>
      <c r="C37" s="5">
        <v>0</v>
      </c>
      <c r="E37" s="5">
        <v>1</v>
      </c>
      <c r="J37" s="5">
        <v>0</v>
      </c>
      <c r="P37" s="5">
        <v>0</v>
      </c>
      <c r="R37" s="5">
        <v>0</v>
      </c>
      <c r="T37" s="5">
        <v>1</v>
      </c>
      <c r="AF37" s="51">
        <v>2</v>
      </c>
      <c r="AJ37" s="51">
        <v>401</v>
      </c>
      <c r="AO37" s="1">
        <v>53</v>
      </c>
      <c r="AQ37" s="1">
        <v>36</v>
      </c>
      <c r="AU37" s="1">
        <v>45</v>
      </c>
      <c r="AZ37" s="1">
        <v>37</v>
      </c>
      <c r="BB37" s="1">
        <v>39</v>
      </c>
      <c r="BC37" s="1">
        <v>38</v>
      </c>
      <c r="BM37" s="1">
        <v>38</v>
      </c>
      <c r="BQ37" s="1">
        <v>57</v>
      </c>
    </row>
    <row r="38" spans="1:69" x14ac:dyDescent="0.25">
      <c r="A38" s="4">
        <v>43888</v>
      </c>
      <c r="C38" s="5">
        <v>10</v>
      </c>
      <c r="J38" s="5">
        <v>0</v>
      </c>
      <c r="P38" s="5">
        <v>1</v>
      </c>
      <c r="R38" s="5">
        <v>1</v>
      </c>
      <c r="T38" s="5">
        <v>5</v>
      </c>
      <c r="AF38" s="51">
        <v>3</v>
      </c>
      <c r="AJ38" s="51">
        <v>409</v>
      </c>
      <c r="AO38" s="1">
        <v>53</v>
      </c>
      <c r="AU38" s="1">
        <v>45</v>
      </c>
      <c r="AZ38" s="1">
        <v>37</v>
      </c>
      <c r="BB38" s="1">
        <v>39</v>
      </c>
      <c r="BC38" s="1">
        <v>38</v>
      </c>
      <c r="BM38" s="1">
        <v>38</v>
      </c>
      <c r="BQ38" s="1">
        <v>57</v>
      </c>
    </row>
    <row r="39" spans="1:69" x14ac:dyDescent="0.25">
      <c r="A39" s="4">
        <v>43889</v>
      </c>
      <c r="C39" s="5">
        <v>0</v>
      </c>
      <c r="J39" s="5">
        <v>1</v>
      </c>
      <c r="R39" s="5">
        <v>0</v>
      </c>
      <c r="T39" s="5">
        <v>1</v>
      </c>
      <c r="AF39" s="51">
        <v>4</v>
      </c>
      <c r="AJ39" s="51">
        <v>318</v>
      </c>
      <c r="AO39" s="1">
        <v>53</v>
      </c>
      <c r="AU39" s="1">
        <v>45</v>
      </c>
      <c r="BB39" s="1">
        <v>39</v>
      </c>
      <c r="BC39" s="1">
        <v>38</v>
      </c>
      <c r="BM39" s="1">
        <v>38</v>
      </c>
      <c r="BQ39" s="1">
        <v>57</v>
      </c>
    </row>
    <row r="40" spans="1:69" x14ac:dyDescent="0.25">
      <c r="A40" s="4">
        <v>43890</v>
      </c>
      <c r="C40" s="5">
        <v>1</v>
      </c>
      <c r="J40" s="5">
        <v>1</v>
      </c>
      <c r="R40" s="5">
        <v>1</v>
      </c>
      <c r="AJ40" s="51">
        <v>423</v>
      </c>
      <c r="AO40" s="1">
        <v>53</v>
      </c>
      <c r="AU40" s="1">
        <v>45</v>
      </c>
      <c r="BB40" s="1">
        <v>39</v>
      </c>
      <c r="BQ40" s="1">
        <v>57</v>
      </c>
    </row>
    <row r="41" spans="1:69" x14ac:dyDescent="0.25">
      <c r="A41" s="4">
        <v>43891</v>
      </c>
      <c r="C41" s="5">
        <v>2</v>
      </c>
      <c r="J41" s="5">
        <v>0</v>
      </c>
      <c r="AJ41" s="51">
        <v>570</v>
      </c>
      <c r="AO41" s="1">
        <v>53</v>
      </c>
      <c r="AU41" s="1">
        <v>45</v>
      </c>
      <c r="BQ41" s="1">
        <v>57</v>
      </c>
    </row>
    <row r="42" spans="1:69" x14ac:dyDescent="0.25">
      <c r="A42" s="4">
        <v>43892</v>
      </c>
      <c r="C42" s="5">
        <v>1</v>
      </c>
      <c r="J42" s="5">
        <v>1</v>
      </c>
      <c r="AJ42" s="51">
        <v>196</v>
      </c>
      <c r="AO42" s="1">
        <v>53</v>
      </c>
      <c r="AU42" s="1">
        <v>45</v>
      </c>
      <c r="BQ42" s="1">
        <v>57</v>
      </c>
    </row>
    <row r="43" spans="1:69" x14ac:dyDescent="0.25">
      <c r="A43" s="4">
        <v>43893</v>
      </c>
      <c r="C43" s="5">
        <v>0</v>
      </c>
      <c r="J43" s="5">
        <v>0</v>
      </c>
      <c r="AJ43" s="51">
        <v>114</v>
      </c>
      <c r="AO43" s="1">
        <v>53</v>
      </c>
      <c r="AU43" s="1">
        <v>45</v>
      </c>
      <c r="BQ43" s="1">
        <v>57</v>
      </c>
    </row>
    <row r="44" spans="1:69" x14ac:dyDescent="0.25">
      <c r="A44" s="4">
        <v>43894</v>
      </c>
      <c r="C44" s="5">
        <v>4</v>
      </c>
      <c r="J44" s="5">
        <v>0</v>
      </c>
      <c r="AJ44" s="51">
        <v>115</v>
      </c>
      <c r="AO44" s="1">
        <v>53</v>
      </c>
      <c r="AU44" s="1">
        <v>45</v>
      </c>
      <c r="BQ44" s="1">
        <v>57</v>
      </c>
    </row>
    <row r="45" spans="1:69" x14ac:dyDescent="0.25">
      <c r="A45" s="4">
        <v>43895</v>
      </c>
      <c r="C45" s="5">
        <v>0</v>
      </c>
      <c r="J45" s="5">
        <v>1</v>
      </c>
      <c r="AJ45" s="51">
        <v>134</v>
      </c>
      <c r="AO45" s="1">
        <v>53</v>
      </c>
      <c r="AU45" s="1">
        <v>45</v>
      </c>
      <c r="BQ45" s="1">
        <v>57</v>
      </c>
    </row>
    <row r="46" spans="1:69" x14ac:dyDescent="0.25">
      <c r="A46" s="4">
        <v>43896</v>
      </c>
      <c r="C46" s="5">
        <v>4</v>
      </c>
      <c r="J46" s="5">
        <v>1</v>
      </c>
      <c r="AJ46" s="51">
        <v>126</v>
      </c>
      <c r="AO46" s="1">
        <v>53</v>
      </c>
      <c r="AU46" s="1">
        <v>45</v>
      </c>
      <c r="BQ46" s="1">
        <v>57</v>
      </c>
    </row>
    <row r="47" spans="1:69" x14ac:dyDescent="0.25">
      <c r="A47" s="4">
        <v>43897</v>
      </c>
      <c r="C47" s="5">
        <v>4</v>
      </c>
      <c r="AJ47" s="51">
        <v>74</v>
      </c>
      <c r="AO47" s="1">
        <v>53</v>
      </c>
      <c r="BQ47" s="1">
        <v>57</v>
      </c>
    </row>
    <row r="48" spans="1:69" x14ac:dyDescent="0.25">
      <c r="A48" s="4">
        <v>43898</v>
      </c>
      <c r="C48" s="5">
        <v>2</v>
      </c>
      <c r="AJ48" s="51">
        <v>41</v>
      </c>
      <c r="AO48" s="1">
        <v>53</v>
      </c>
      <c r="BQ48" s="1">
        <v>57</v>
      </c>
    </row>
    <row r="49" spans="1:69" x14ac:dyDescent="0.25">
      <c r="A49" s="4">
        <v>43899</v>
      </c>
      <c r="C49" s="5">
        <v>0</v>
      </c>
      <c r="AJ49" s="51">
        <v>36</v>
      </c>
      <c r="AO49" s="1">
        <v>53</v>
      </c>
      <c r="BQ49" s="1">
        <v>57</v>
      </c>
    </row>
    <row r="50" spans="1:69" x14ac:dyDescent="0.25">
      <c r="A50" s="4">
        <v>43900</v>
      </c>
      <c r="C50" s="5">
        <v>1</v>
      </c>
      <c r="AJ50" s="51">
        <v>17</v>
      </c>
      <c r="AO50" s="1">
        <v>53</v>
      </c>
      <c r="BQ50" s="1">
        <v>57</v>
      </c>
    </row>
    <row r="51" spans="1:69" x14ac:dyDescent="0.25">
      <c r="A51" s="4">
        <v>43901</v>
      </c>
      <c r="C51" s="5">
        <v>6</v>
      </c>
      <c r="AJ51" s="51">
        <v>13</v>
      </c>
      <c r="AO51" s="1">
        <v>53</v>
      </c>
      <c r="BQ51" s="1">
        <v>57</v>
      </c>
    </row>
    <row r="52" spans="1:69" x14ac:dyDescent="0.25">
      <c r="A52" s="4">
        <v>43902</v>
      </c>
      <c r="C52" s="5">
        <v>0</v>
      </c>
      <c r="AJ52" s="51">
        <v>8</v>
      </c>
      <c r="AO52" s="1">
        <v>53</v>
      </c>
      <c r="BQ52" s="1">
        <v>57</v>
      </c>
    </row>
    <row r="53" spans="1:69" x14ac:dyDescent="0.25">
      <c r="A53" s="4">
        <v>43903</v>
      </c>
      <c r="C53" s="5">
        <v>1</v>
      </c>
      <c r="AJ53" s="51">
        <v>5</v>
      </c>
      <c r="AO53" s="1">
        <v>53</v>
      </c>
      <c r="BQ53" s="1">
        <v>57</v>
      </c>
    </row>
    <row r="54" spans="1:69" x14ac:dyDescent="0.25">
      <c r="A54" s="4">
        <v>43904</v>
      </c>
      <c r="C54" s="5">
        <v>1</v>
      </c>
      <c r="AJ54" s="51">
        <v>4</v>
      </c>
      <c r="AO54" s="1">
        <v>53</v>
      </c>
      <c r="BQ54" s="1">
        <v>57</v>
      </c>
    </row>
    <row r="55" spans="1:69" x14ac:dyDescent="0.25">
      <c r="A55" s="4">
        <v>43905</v>
      </c>
      <c r="AJ55" s="51">
        <v>4</v>
      </c>
      <c r="BQ55" s="1">
        <v>57</v>
      </c>
    </row>
    <row r="56" spans="1:69" x14ac:dyDescent="0.25">
      <c r="A56" s="4">
        <v>43906</v>
      </c>
      <c r="AJ56" s="51">
        <v>4</v>
      </c>
      <c r="BQ56" s="1">
        <v>57</v>
      </c>
    </row>
    <row r="57" spans="1:69" x14ac:dyDescent="0.25">
      <c r="A57" s="4">
        <v>43907</v>
      </c>
      <c r="AJ57" s="51">
        <v>1</v>
      </c>
      <c r="BQ57" s="1">
        <v>57</v>
      </c>
    </row>
    <row r="58" spans="1:69" x14ac:dyDescent="0.25">
      <c r="A58" s="4">
        <v>43908</v>
      </c>
      <c r="AJ58" s="51">
        <v>1</v>
      </c>
      <c r="BQ58" s="1">
        <v>57</v>
      </c>
    </row>
    <row r="59" spans="1:69" x14ac:dyDescent="0.25">
      <c r="A59" s="4">
        <v>43909</v>
      </c>
    </row>
    <row r="60" spans="1:69" x14ac:dyDescent="0.25">
      <c r="A60" s="4">
        <v>43910</v>
      </c>
    </row>
    <row r="61" spans="1:69" x14ac:dyDescent="0.25">
      <c r="A61" s="4">
        <v>43911</v>
      </c>
    </row>
    <row r="62" spans="1:69" x14ac:dyDescent="0.25">
      <c r="A62" s="4">
        <v>43912</v>
      </c>
    </row>
    <row r="63" spans="1:69" x14ac:dyDescent="0.25">
      <c r="A63" s="4">
        <v>43913</v>
      </c>
    </row>
    <row r="64" spans="1:69" x14ac:dyDescent="0.25">
      <c r="A64" s="4">
        <v>43914</v>
      </c>
    </row>
    <row r="65" spans="1:1" x14ac:dyDescent="0.25">
      <c r="A65" s="4">
        <v>43915</v>
      </c>
    </row>
    <row r="66" spans="1:1" x14ac:dyDescent="0.25">
      <c r="A66" s="4">
        <v>43916</v>
      </c>
    </row>
    <row r="67" spans="1:1" x14ac:dyDescent="0.25">
      <c r="A67" s="4">
        <v>43917</v>
      </c>
    </row>
    <row r="68" spans="1:1" x14ac:dyDescent="0.25">
      <c r="A68" s="4">
        <v>43918</v>
      </c>
    </row>
    <row r="69" spans="1:1" x14ac:dyDescent="0.25">
      <c r="A69" s="4">
        <v>43919</v>
      </c>
    </row>
    <row r="70" spans="1:1" x14ac:dyDescent="0.25">
      <c r="A70" s="4">
        <v>43920</v>
      </c>
    </row>
    <row r="71" spans="1:1" x14ac:dyDescent="0.25">
      <c r="A71" s="4">
        <v>43921</v>
      </c>
    </row>
    <row r="72" spans="1:1" x14ac:dyDescent="0.25">
      <c r="A72" s="4">
        <v>43922</v>
      </c>
    </row>
    <row r="73" spans="1:1" x14ac:dyDescent="0.25">
      <c r="A73" s="4">
        <v>43923</v>
      </c>
    </row>
    <row r="74" spans="1:1" x14ac:dyDescent="0.25">
      <c r="A74" s="4">
        <v>43924</v>
      </c>
    </row>
    <row r="75" spans="1:1" x14ac:dyDescent="0.25">
      <c r="A75" s="4">
        <v>43925</v>
      </c>
    </row>
    <row r="76" spans="1:1" x14ac:dyDescent="0.25">
      <c r="A76" s="4">
        <v>43926</v>
      </c>
    </row>
    <row r="77" spans="1:1" x14ac:dyDescent="0.25">
      <c r="A77" s="4">
        <v>43927</v>
      </c>
    </row>
    <row r="78" spans="1:1" x14ac:dyDescent="0.25">
      <c r="A78" s="4">
        <v>43928</v>
      </c>
    </row>
    <row r="79" spans="1:1" x14ac:dyDescent="0.25">
      <c r="A79" s="4">
        <v>43929</v>
      </c>
    </row>
    <row r="80" spans="1:1" x14ac:dyDescent="0.25">
      <c r="A80" s="4">
        <v>43930</v>
      </c>
    </row>
    <row r="81" spans="1:1" x14ac:dyDescent="0.25">
      <c r="A81" s="4">
        <v>43931</v>
      </c>
    </row>
    <row r="82" spans="1:1" x14ac:dyDescent="0.25">
      <c r="A82" s="4">
        <v>43932</v>
      </c>
    </row>
    <row r="83" spans="1:1" x14ac:dyDescent="0.25">
      <c r="A83" s="4">
        <v>43933</v>
      </c>
    </row>
    <row r="84" spans="1:1" x14ac:dyDescent="0.25">
      <c r="A84" s="4">
        <v>43934</v>
      </c>
    </row>
    <row r="85" spans="1:1" x14ac:dyDescent="0.25">
      <c r="A85" s="4">
        <v>43935</v>
      </c>
    </row>
    <row r="86" spans="1:1" x14ac:dyDescent="0.25">
      <c r="A86" s="4">
        <v>43936</v>
      </c>
    </row>
    <row r="87" spans="1:1" x14ac:dyDescent="0.25">
      <c r="A87" s="4">
        <v>43937</v>
      </c>
    </row>
    <row r="88" spans="1:1" x14ac:dyDescent="0.25">
      <c r="A88" s="4">
        <v>43938</v>
      </c>
    </row>
    <row r="89" spans="1:1" x14ac:dyDescent="0.25">
      <c r="A89" s="4">
        <v>43939</v>
      </c>
    </row>
    <row r="90" spans="1:1" x14ac:dyDescent="0.25">
      <c r="A90" s="4">
        <v>43940</v>
      </c>
    </row>
    <row r="91" spans="1:1" x14ac:dyDescent="0.25">
      <c r="A91" s="4">
        <v>43941</v>
      </c>
    </row>
    <row r="92" spans="1:1" x14ac:dyDescent="0.25">
      <c r="A92" s="4">
        <v>43942</v>
      </c>
    </row>
    <row r="93" spans="1:1" x14ac:dyDescent="0.25">
      <c r="A93" s="4">
        <v>43943</v>
      </c>
    </row>
    <row r="94" spans="1:1" x14ac:dyDescent="0.25">
      <c r="A94" s="4">
        <v>43944</v>
      </c>
    </row>
    <row r="95" spans="1:1" x14ac:dyDescent="0.25">
      <c r="A95" s="4">
        <v>43945</v>
      </c>
    </row>
    <row r="96" spans="1:1" x14ac:dyDescent="0.25">
      <c r="A96" s="4">
        <v>43946</v>
      </c>
    </row>
    <row r="97" spans="1:1" x14ac:dyDescent="0.25">
      <c r="A97" s="4">
        <v>43947</v>
      </c>
    </row>
    <row r="98" spans="1:1" x14ac:dyDescent="0.25">
      <c r="A98" s="4">
        <v>43948</v>
      </c>
    </row>
    <row r="99" spans="1:1" x14ac:dyDescent="0.25">
      <c r="A99" s="4">
        <v>43949</v>
      </c>
    </row>
    <row r="100" spans="1:1" x14ac:dyDescent="0.25">
      <c r="A100" s="4">
        <v>43950</v>
      </c>
    </row>
    <row r="101" spans="1:1" x14ac:dyDescent="0.25">
      <c r="A101" s="4">
        <v>43951</v>
      </c>
    </row>
    <row r="102" spans="1:1" x14ac:dyDescent="0.25">
      <c r="A102" s="4">
        <v>43952</v>
      </c>
    </row>
    <row r="103" spans="1:1" x14ac:dyDescent="0.25">
      <c r="A103" s="4">
        <v>43953</v>
      </c>
    </row>
    <row r="104" spans="1:1" x14ac:dyDescent="0.25">
      <c r="A104" s="4">
        <v>43954</v>
      </c>
    </row>
    <row r="105" spans="1:1" x14ac:dyDescent="0.25">
      <c r="A105" s="4">
        <v>43955</v>
      </c>
    </row>
    <row r="106" spans="1:1" x14ac:dyDescent="0.25">
      <c r="A106" s="4">
        <v>43956</v>
      </c>
    </row>
    <row r="107" spans="1:1" x14ac:dyDescent="0.25">
      <c r="A107" s="4">
        <v>43957</v>
      </c>
    </row>
    <row r="108" spans="1:1" x14ac:dyDescent="0.25">
      <c r="A108" s="4">
        <v>43958</v>
      </c>
    </row>
    <row r="109" spans="1:1" x14ac:dyDescent="0.25">
      <c r="A109" s="4">
        <v>43959</v>
      </c>
    </row>
    <row r="110" spans="1:1" x14ac:dyDescent="0.25">
      <c r="A110" s="4">
        <v>43960</v>
      </c>
    </row>
    <row r="111" spans="1:1" x14ac:dyDescent="0.25">
      <c r="A111" s="4">
        <v>43961</v>
      </c>
    </row>
    <row r="112" spans="1:1" x14ac:dyDescent="0.25">
      <c r="A112" s="4">
        <v>43962</v>
      </c>
    </row>
    <row r="113" spans="1:1" x14ac:dyDescent="0.25">
      <c r="A113" s="4">
        <v>43963</v>
      </c>
    </row>
    <row r="114" spans="1:1" x14ac:dyDescent="0.25">
      <c r="A114" s="4">
        <v>43964</v>
      </c>
    </row>
    <row r="115" spans="1:1" x14ac:dyDescent="0.25">
      <c r="A115" s="4">
        <v>43965</v>
      </c>
    </row>
    <row r="116" spans="1:1" x14ac:dyDescent="0.25">
      <c r="A116" s="4">
        <v>43966</v>
      </c>
    </row>
    <row r="117" spans="1:1" x14ac:dyDescent="0.25">
      <c r="A117" s="4">
        <v>43967</v>
      </c>
    </row>
    <row r="118" spans="1:1" x14ac:dyDescent="0.25">
      <c r="A118" s="4">
        <v>43968</v>
      </c>
    </row>
    <row r="119" spans="1:1" x14ac:dyDescent="0.25">
      <c r="A119" s="4">
        <v>43969</v>
      </c>
    </row>
    <row r="120" spans="1:1" x14ac:dyDescent="0.25">
      <c r="A120" s="4">
        <v>43970</v>
      </c>
    </row>
    <row r="121" spans="1:1" x14ac:dyDescent="0.25">
      <c r="A121" s="4">
        <v>43971</v>
      </c>
    </row>
    <row r="122" spans="1:1" x14ac:dyDescent="0.25">
      <c r="A122" s="4">
        <v>43972</v>
      </c>
    </row>
    <row r="123" spans="1:1" x14ac:dyDescent="0.25">
      <c r="A123" s="4">
        <v>43973</v>
      </c>
    </row>
    <row r="124" spans="1:1" x14ac:dyDescent="0.25">
      <c r="A124" s="4">
        <v>43974</v>
      </c>
    </row>
    <row r="125" spans="1:1" x14ac:dyDescent="0.25">
      <c r="A125" s="4">
        <v>43975</v>
      </c>
    </row>
    <row r="126" spans="1:1" x14ac:dyDescent="0.25">
      <c r="A126" s="4">
        <v>43976</v>
      </c>
    </row>
    <row r="127" spans="1:1" x14ac:dyDescent="0.25">
      <c r="A127" s="4">
        <v>43977</v>
      </c>
    </row>
    <row r="128" spans="1:1" x14ac:dyDescent="0.25">
      <c r="A128" s="4">
        <v>43978</v>
      </c>
    </row>
    <row r="129" spans="1:41" x14ac:dyDescent="0.25">
      <c r="A129" s="4">
        <v>43979</v>
      </c>
    </row>
    <row r="130" spans="1:41" x14ac:dyDescent="0.25">
      <c r="A130" s="4">
        <v>43980</v>
      </c>
    </row>
    <row r="131" spans="1:41" x14ac:dyDescent="0.25">
      <c r="A131" s="4">
        <v>43981</v>
      </c>
    </row>
    <row r="132" spans="1:41" x14ac:dyDescent="0.25">
      <c r="A132" s="4">
        <v>43982</v>
      </c>
    </row>
    <row r="133" spans="1:41" x14ac:dyDescent="0.25">
      <c r="A133" s="4">
        <v>43983</v>
      </c>
    </row>
    <row r="134" spans="1:41" x14ac:dyDescent="0.25">
      <c r="A134" s="4">
        <v>43984</v>
      </c>
    </row>
    <row r="135" spans="1:41" x14ac:dyDescent="0.25">
      <c r="A135" s="4">
        <v>43985</v>
      </c>
    </row>
    <row r="136" spans="1:41" x14ac:dyDescent="0.25">
      <c r="A136" s="4">
        <v>43986</v>
      </c>
    </row>
    <row r="137" spans="1:41" x14ac:dyDescent="0.25">
      <c r="A137" s="4">
        <v>43987</v>
      </c>
    </row>
    <row r="138" spans="1:41" x14ac:dyDescent="0.25">
      <c r="A138" s="4">
        <v>43988</v>
      </c>
    </row>
    <row r="139" spans="1:41" x14ac:dyDescent="0.25">
      <c r="A139" s="4">
        <v>43989</v>
      </c>
    </row>
    <row r="140" spans="1:41" x14ac:dyDescent="0.25">
      <c r="A140" s="4">
        <v>43990</v>
      </c>
    </row>
    <row r="141" spans="1:41" x14ac:dyDescent="0.25">
      <c r="A141" s="4">
        <v>43991</v>
      </c>
    </row>
    <row r="142" spans="1:41" x14ac:dyDescent="0.25">
      <c r="A142" s="4">
        <v>43992</v>
      </c>
    </row>
    <row r="143" spans="1:41" x14ac:dyDescent="0.25">
      <c r="A143" s="4">
        <v>43993</v>
      </c>
      <c r="C143" s="25">
        <v>1</v>
      </c>
      <c r="AO143" s="1">
        <v>30</v>
      </c>
    </row>
    <row r="144" spans="1:41" x14ac:dyDescent="0.25">
      <c r="A144" s="4">
        <v>43994</v>
      </c>
      <c r="C144" s="25">
        <v>6</v>
      </c>
      <c r="AO144" s="1">
        <v>30</v>
      </c>
    </row>
    <row r="145" spans="1:72" x14ac:dyDescent="0.25">
      <c r="A145" s="4">
        <v>43995</v>
      </c>
      <c r="C145" s="25">
        <v>37</v>
      </c>
      <c r="AO145" s="1">
        <v>30</v>
      </c>
    </row>
    <row r="146" spans="1:72" x14ac:dyDescent="0.25">
      <c r="A146" s="4">
        <v>43996</v>
      </c>
      <c r="C146" s="25">
        <v>42</v>
      </c>
      <c r="AO146" s="1">
        <v>30</v>
      </c>
      <c r="BT146" s="1">
        <v>42</v>
      </c>
    </row>
    <row r="147" spans="1:72" x14ac:dyDescent="0.25">
      <c r="A147" s="4">
        <v>43997</v>
      </c>
      <c r="C147" s="25">
        <v>30</v>
      </c>
      <c r="AO147" s="1">
        <v>30</v>
      </c>
    </row>
    <row r="148" spans="1:72" x14ac:dyDescent="0.25">
      <c r="A148" s="4">
        <v>43998</v>
      </c>
      <c r="C148" s="25">
        <v>37</v>
      </c>
      <c r="AO148" s="1">
        <v>30</v>
      </c>
    </row>
    <row r="149" spans="1:72" x14ac:dyDescent="0.25">
      <c r="A149" s="4">
        <v>43999</v>
      </c>
      <c r="C149" s="25">
        <v>24</v>
      </c>
      <c r="AO149" s="1">
        <v>30</v>
      </c>
    </row>
    <row r="150" spans="1:72" x14ac:dyDescent="0.25">
      <c r="A150" s="4">
        <v>44000</v>
      </c>
      <c r="C150" s="25">
        <v>27</v>
      </c>
      <c r="AO150" s="1">
        <v>30</v>
      </c>
    </row>
    <row r="151" spans="1:72" x14ac:dyDescent="0.25">
      <c r="A151" s="4">
        <v>44001</v>
      </c>
      <c r="C151" s="25">
        <v>24</v>
      </c>
      <c r="AO151" s="1">
        <v>30</v>
      </c>
    </row>
    <row r="152" spans="1:72" x14ac:dyDescent="0.25">
      <c r="A152" s="4">
        <v>44002</v>
      </c>
      <c r="C152" s="25">
        <v>25</v>
      </c>
      <c r="AO152" s="1">
        <v>30</v>
      </c>
    </row>
    <row r="153" spans="1:72" x14ac:dyDescent="0.25">
      <c r="A153" s="4">
        <v>44003</v>
      </c>
      <c r="C153" s="25">
        <v>14</v>
      </c>
      <c r="AO153" s="1">
        <v>30</v>
      </c>
    </row>
    <row r="154" spans="1:72" x14ac:dyDescent="0.25">
      <c r="A154" s="4">
        <v>44004</v>
      </c>
      <c r="C154" s="25">
        <v>14</v>
      </c>
      <c r="AO154" s="1">
        <v>30</v>
      </c>
    </row>
    <row r="155" spans="1:72" x14ac:dyDescent="0.25">
      <c r="A155" s="4">
        <v>44005</v>
      </c>
      <c r="C155" s="25">
        <v>8</v>
      </c>
      <c r="AO155" s="1">
        <v>30</v>
      </c>
    </row>
    <row r="156" spans="1:72" x14ac:dyDescent="0.25">
      <c r="A156" s="4">
        <v>44006</v>
      </c>
      <c r="C156" s="25">
        <v>13</v>
      </c>
      <c r="AO156" s="1">
        <v>30</v>
      </c>
    </row>
    <row r="157" spans="1:72" x14ac:dyDescent="0.25">
      <c r="A157" s="4">
        <v>44007</v>
      </c>
      <c r="C157" s="25">
        <v>12</v>
      </c>
      <c r="AO157" s="1">
        <v>30</v>
      </c>
    </row>
    <row r="158" spans="1:72" x14ac:dyDescent="0.25">
      <c r="A158" s="4">
        <v>44008</v>
      </c>
      <c r="C158" s="25">
        <v>21</v>
      </c>
      <c r="AO158" s="1">
        <v>30</v>
      </c>
    </row>
    <row r="159" spans="1:72" x14ac:dyDescent="0.25">
      <c r="A159" s="4">
        <v>44009</v>
      </c>
      <c r="C159" s="25">
        <v>17</v>
      </c>
      <c r="AO159" s="1">
        <v>30</v>
      </c>
    </row>
    <row r="160" spans="1:72" x14ac:dyDescent="0.25">
      <c r="A160" s="4">
        <v>44010</v>
      </c>
      <c r="C160" s="25">
        <v>8</v>
      </c>
      <c r="AO160" s="1">
        <v>30</v>
      </c>
    </row>
    <row r="161" spans="1:41" x14ac:dyDescent="0.25">
      <c r="A161" s="4">
        <v>44011</v>
      </c>
      <c r="C161" s="25">
        <v>8</v>
      </c>
      <c r="AO161" s="1">
        <v>30</v>
      </c>
    </row>
    <row r="162" spans="1:41" x14ac:dyDescent="0.25">
      <c r="A162" s="4">
        <v>44012</v>
      </c>
      <c r="C162" s="25">
        <v>3</v>
      </c>
      <c r="AO162" s="1">
        <v>30</v>
      </c>
    </row>
    <row r="163" spans="1:41" x14ac:dyDescent="0.25">
      <c r="A163" s="4">
        <v>44013</v>
      </c>
      <c r="C163" s="25">
        <v>3</v>
      </c>
      <c r="AO163" s="1">
        <v>30</v>
      </c>
    </row>
    <row r="164" spans="1:41" x14ac:dyDescent="0.25">
      <c r="A164" s="4">
        <v>44014</v>
      </c>
      <c r="C164" s="25">
        <v>3</v>
      </c>
      <c r="AO164" s="1">
        <v>30</v>
      </c>
    </row>
    <row r="165" spans="1:41" x14ac:dyDescent="0.25">
      <c r="A165" s="4">
        <v>44015</v>
      </c>
      <c r="C165" s="25">
        <v>1</v>
      </c>
      <c r="AO165" s="1">
        <v>30</v>
      </c>
    </row>
    <row r="166" spans="1:41" x14ac:dyDescent="0.25">
      <c r="A166" s="4">
        <v>44016</v>
      </c>
      <c r="C166" s="25">
        <v>2</v>
      </c>
      <c r="AO166" s="1">
        <v>30</v>
      </c>
    </row>
    <row r="167" spans="1:41" x14ac:dyDescent="0.25">
      <c r="A167" s="4">
        <v>44017</v>
      </c>
      <c r="C167" s="25">
        <v>2</v>
      </c>
      <c r="AO167" s="1">
        <v>30</v>
      </c>
    </row>
    <row r="168" spans="1:41" x14ac:dyDescent="0.25">
      <c r="A168" s="4">
        <v>44018</v>
      </c>
      <c r="C168" s="25">
        <v>1</v>
      </c>
      <c r="AO168" s="1">
        <v>30</v>
      </c>
    </row>
    <row r="169" spans="1:41" x14ac:dyDescent="0.25">
      <c r="A169" s="4">
        <v>44019</v>
      </c>
      <c r="C169" s="25">
        <v>0</v>
      </c>
      <c r="AO169" s="1">
        <v>30</v>
      </c>
    </row>
    <row r="170" spans="1:41" x14ac:dyDescent="0.25">
      <c r="A170" s="4">
        <v>44020</v>
      </c>
      <c r="C170" s="25">
        <v>1</v>
      </c>
      <c r="AO170" s="1">
        <v>30</v>
      </c>
    </row>
    <row r="171" spans="1:41" x14ac:dyDescent="0.25">
      <c r="A171" s="4">
        <v>44021</v>
      </c>
      <c r="C171" s="25">
        <v>0</v>
      </c>
      <c r="AO171" s="1">
        <v>30</v>
      </c>
    </row>
    <row r="172" spans="1:41" x14ac:dyDescent="0.25">
      <c r="A172" s="4">
        <v>44022</v>
      </c>
      <c r="C172" s="25">
        <v>1</v>
      </c>
      <c r="AO172" s="1">
        <v>30</v>
      </c>
    </row>
    <row r="173" spans="1:41" x14ac:dyDescent="0.25">
      <c r="A173" s="4">
        <v>44023</v>
      </c>
    </row>
    <row r="174" spans="1:41" x14ac:dyDescent="0.25">
      <c r="A174" s="4">
        <v>44024</v>
      </c>
    </row>
    <row r="175" spans="1:41" x14ac:dyDescent="0.25">
      <c r="A175" s="4">
        <v>44025</v>
      </c>
    </row>
    <row r="176" spans="1:41" x14ac:dyDescent="0.25">
      <c r="A176" s="4">
        <v>44026</v>
      </c>
    </row>
    <row r="177" spans="1:97" x14ac:dyDescent="0.25">
      <c r="A177" s="4">
        <v>44027</v>
      </c>
    </row>
    <row r="178" spans="1:97" x14ac:dyDescent="0.25">
      <c r="A178" s="4">
        <v>44028</v>
      </c>
      <c r="AG178" s="51">
        <v>6</v>
      </c>
      <c r="BN178" s="1">
        <v>31</v>
      </c>
    </row>
    <row r="179" spans="1:97" x14ac:dyDescent="0.25">
      <c r="A179" s="4">
        <v>44029</v>
      </c>
      <c r="AG179" s="51">
        <v>11</v>
      </c>
      <c r="BN179" s="1">
        <v>31</v>
      </c>
    </row>
    <row r="180" spans="1:97" x14ac:dyDescent="0.25">
      <c r="A180" s="4">
        <v>44030</v>
      </c>
      <c r="AG180" s="51">
        <v>13</v>
      </c>
      <c r="BN180" s="1">
        <v>31</v>
      </c>
    </row>
    <row r="181" spans="1:97" x14ac:dyDescent="0.25">
      <c r="A181" s="4">
        <v>44031</v>
      </c>
      <c r="AG181" s="51">
        <v>17</v>
      </c>
      <c r="BN181" s="1">
        <v>31</v>
      </c>
    </row>
    <row r="182" spans="1:97" x14ac:dyDescent="0.25">
      <c r="A182" s="4">
        <v>44032</v>
      </c>
      <c r="AG182" s="51">
        <v>8</v>
      </c>
      <c r="BN182" s="1">
        <v>31</v>
      </c>
    </row>
    <row r="183" spans="1:97" x14ac:dyDescent="0.25">
      <c r="A183" s="4">
        <v>44033</v>
      </c>
      <c r="AG183" s="51">
        <v>9</v>
      </c>
      <c r="BN183" s="1">
        <v>31</v>
      </c>
    </row>
    <row r="184" spans="1:97" x14ac:dyDescent="0.25">
      <c r="A184" s="4">
        <v>44034</v>
      </c>
      <c r="W184" s="14">
        <v>1</v>
      </c>
      <c r="AG184" s="51">
        <v>18</v>
      </c>
      <c r="BF184" s="1">
        <v>15</v>
      </c>
      <c r="BN184" s="1">
        <v>31</v>
      </c>
    </row>
    <row r="185" spans="1:97" x14ac:dyDescent="0.25">
      <c r="A185" s="4">
        <v>44035</v>
      </c>
      <c r="W185" s="14">
        <v>14</v>
      </c>
      <c r="AG185" s="51">
        <v>13</v>
      </c>
      <c r="BF185" s="1">
        <v>15</v>
      </c>
      <c r="BN185" s="1">
        <v>31</v>
      </c>
    </row>
    <row r="186" spans="1:97" x14ac:dyDescent="0.25">
      <c r="A186" s="4">
        <v>44036</v>
      </c>
      <c r="W186" s="14">
        <v>36</v>
      </c>
      <c r="AG186" s="51">
        <v>20</v>
      </c>
      <c r="BF186" s="1">
        <v>15</v>
      </c>
      <c r="BN186" s="1">
        <v>31</v>
      </c>
      <c r="CK186" s="1">
        <v>36</v>
      </c>
    </row>
    <row r="187" spans="1:97" x14ac:dyDescent="0.25">
      <c r="A187" s="4">
        <v>44037</v>
      </c>
      <c r="W187" s="14">
        <v>36</v>
      </c>
      <c r="AG187" s="51">
        <v>22</v>
      </c>
      <c r="BF187" s="1">
        <v>15</v>
      </c>
      <c r="BN187" s="1">
        <v>31</v>
      </c>
      <c r="CK187" s="1">
        <v>36</v>
      </c>
    </row>
    <row r="188" spans="1:97" x14ac:dyDescent="0.25">
      <c r="A188" s="4">
        <v>44038</v>
      </c>
      <c r="W188" s="14">
        <v>26</v>
      </c>
      <c r="AG188" s="51">
        <v>41</v>
      </c>
      <c r="BF188" s="1">
        <v>15</v>
      </c>
      <c r="BN188" s="1">
        <v>31</v>
      </c>
    </row>
    <row r="189" spans="1:97" x14ac:dyDescent="0.25">
      <c r="A189" s="4">
        <v>44039</v>
      </c>
      <c r="W189" s="14">
        <v>18</v>
      </c>
      <c r="AG189" s="51">
        <v>57</v>
      </c>
      <c r="BF189" s="1">
        <v>15</v>
      </c>
      <c r="BN189" s="1">
        <v>31</v>
      </c>
    </row>
    <row r="190" spans="1:97" x14ac:dyDescent="0.25">
      <c r="A190" s="4">
        <v>44040</v>
      </c>
      <c r="W190" s="14">
        <v>12</v>
      </c>
      <c r="AG190" s="51">
        <v>89</v>
      </c>
      <c r="BF190" s="1">
        <v>15</v>
      </c>
      <c r="BN190" s="1">
        <v>31</v>
      </c>
    </row>
    <row r="191" spans="1:97" x14ac:dyDescent="0.25">
      <c r="A191" s="4">
        <v>44041</v>
      </c>
      <c r="W191" s="14">
        <v>7</v>
      </c>
      <c r="AG191" s="51">
        <v>96</v>
      </c>
      <c r="BF191" s="1">
        <v>15</v>
      </c>
      <c r="BN191" s="1">
        <v>31</v>
      </c>
    </row>
    <row r="192" spans="1:97" x14ac:dyDescent="0.25">
      <c r="A192" s="4">
        <v>44042</v>
      </c>
      <c r="W192" s="14">
        <v>17</v>
      </c>
      <c r="AG192" s="51">
        <v>112</v>
      </c>
      <c r="BF192" s="1">
        <v>15</v>
      </c>
      <c r="BN192" s="1">
        <v>31</v>
      </c>
      <c r="CS192" s="1">
        <v>112</v>
      </c>
    </row>
    <row r="193" spans="1:66" x14ac:dyDescent="0.25">
      <c r="A193" s="4">
        <v>44043</v>
      </c>
      <c r="W193" s="14">
        <v>12</v>
      </c>
      <c r="AG193" s="51">
        <v>31</v>
      </c>
      <c r="BF193" s="1">
        <v>15</v>
      </c>
      <c r="BN193" s="1">
        <v>31</v>
      </c>
    </row>
    <row r="194" spans="1:66" x14ac:dyDescent="0.25">
      <c r="A194" s="4">
        <v>44044</v>
      </c>
      <c r="W194" s="14">
        <v>4</v>
      </c>
      <c r="AG194" s="51">
        <v>29</v>
      </c>
      <c r="BF194" s="1">
        <v>15</v>
      </c>
      <c r="BN194" s="1">
        <v>31</v>
      </c>
    </row>
    <row r="195" spans="1:66" x14ac:dyDescent="0.25">
      <c r="A195" s="4">
        <v>44045</v>
      </c>
      <c r="W195" s="14">
        <v>8</v>
      </c>
      <c r="AG195" s="51">
        <v>28</v>
      </c>
      <c r="BF195" s="1">
        <v>15</v>
      </c>
      <c r="BN195" s="1">
        <v>31</v>
      </c>
    </row>
    <row r="196" spans="1:66" x14ac:dyDescent="0.25">
      <c r="A196" s="4">
        <v>44046</v>
      </c>
      <c r="W196" s="14">
        <v>2</v>
      </c>
      <c r="AG196" s="51">
        <v>28</v>
      </c>
      <c r="BF196" s="1">
        <v>15</v>
      </c>
      <c r="BN196" s="1">
        <v>31</v>
      </c>
    </row>
    <row r="197" spans="1:66" x14ac:dyDescent="0.25">
      <c r="A197" s="4">
        <v>44047</v>
      </c>
      <c r="W197" s="14">
        <v>0</v>
      </c>
      <c r="AG197" s="51">
        <v>22</v>
      </c>
      <c r="BF197" s="1">
        <v>15</v>
      </c>
      <c r="BN197" s="1">
        <v>31</v>
      </c>
    </row>
    <row r="198" spans="1:66" x14ac:dyDescent="0.25">
      <c r="A198" s="4">
        <v>44048</v>
      </c>
      <c r="W198" s="14">
        <v>3</v>
      </c>
      <c r="AG198" s="51">
        <v>27</v>
      </c>
      <c r="BF198" s="1">
        <v>15</v>
      </c>
      <c r="BN198" s="1">
        <v>31</v>
      </c>
    </row>
    <row r="199" spans="1:66" x14ac:dyDescent="0.25">
      <c r="A199" s="4">
        <v>44049</v>
      </c>
      <c r="AG199" s="51">
        <v>26</v>
      </c>
      <c r="BN199" s="1">
        <v>31</v>
      </c>
    </row>
    <row r="200" spans="1:66" x14ac:dyDescent="0.25">
      <c r="A200" s="4">
        <v>44050</v>
      </c>
      <c r="AG200" s="51">
        <v>25</v>
      </c>
      <c r="BN200" s="1">
        <v>31</v>
      </c>
    </row>
    <row r="201" spans="1:66" x14ac:dyDescent="0.25">
      <c r="A201" s="4">
        <v>44051</v>
      </c>
      <c r="AG201" s="51">
        <v>15</v>
      </c>
      <c r="BN201" s="1">
        <v>31</v>
      </c>
    </row>
    <row r="202" spans="1:66" x14ac:dyDescent="0.25">
      <c r="A202" s="4">
        <v>44052</v>
      </c>
      <c r="AG202" s="51">
        <v>14</v>
      </c>
      <c r="BN202" s="1">
        <v>31</v>
      </c>
    </row>
    <row r="203" spans="1:66" x14ac:dyDescent="0.25">
      <c r="A203" s="4">
        <v>44053</v>
      </c>
      <c r="AG203" s="51">
        <v>13</v>
      </c>
      <c r="BN203" s="1">
        <v>31</v>
      </c>
    </row>
    <row r="204" spans="1:66" x14ac:dyDescent="0.25">
      <c r="A204" s="4">
        <v>44054</v>
      </c>
      <c r="AG204" s="51">
        <v>9</v>
      </c>
      <c r="BN204" s="1">
        <v>31</v>
      </c>
    </row>
    <row r="205" spans="1:66" x14ac:dyDescent="0.25">
      <c r="A205" s="4">
        <v>44055</v>
      </c>
      <c r="AG205" s="51">
        <v>8</v>
      </c>
      <c r="BN205" s="1">
        <v>31</v>
      </c>
    </row>
    <row r="206" spans="1:66" x14ac:dyDescent="0.25">
      <c r="A206" s="4">
        <v>44056</v>
      </c>
      <c r="AG206" s="51">
        <v>8</v>
      </c>
      <c r="BN206" s="1">
        <v>31</v>
      </c>
    </row>
    <row r="207" spans="1:66" x14ac:dyDescent="0.25">
      <c r="A207" s="4">
        <v>44057</v>
      </c>
      <c r="AG207" s="51">
        <v>7</v>
      </c>
      <c r="BN207" s="1">
        <v>31</v>
      </c>
    </row>
    <row r="208" spans="1:66" x14ac:dyDescent="0.25">
      <c r="A208" s="4">
        <v>44058</v>
      </c>
      <c r="AG208" s="51">
        <v>4</v>
      </c>
      <c r="BN208" s="1">
        <v>31</v>
      </c>
    </row>
    <row r="209" spans="1:1" x14ac:dyDescent="0.25">
      <c r="A209" s="4">
        <v>44059</v>
      </c>
    </row>
    <row r="210" spans="1:1" x14ac:dyDescent="0.25">
      <c r="A210" s="4">
        <v>44060</v>
      </c>
    </row>
    <row r="211" spans="1:1" x14ac:dyDescent="0.25">
      <c r="A211" s="4">
        <v>44061</v>
      </c>
    </row>
    <row r="212" spans="1:1" x14ac:dyDescent="0.25">
      <c r="A212" s="4">
        <v>44062</v>
      </c>
    </row>
    <row r="213" spans="1:1" x14ac:dyDescent="0.25">
      <c r="A213" s="4">
        <v>44063</v>
      </c>
    </row>
    <row r="214" spans="1:1" x14ac:dyDescent="0.25">
      <c r="A214" s="4">
        <v>44064</v>
      </c>
    </row>
    <row r="215" spans="1:1" x14ac:dyDescent="0.25">
      <c r="A215" s="4">
        <v>44065</v>
      </c>
    </row>
    <row r="216" spans="1:1" x14ac:dyDescent="0.25">
      <c r="A216" s="4">
        <v>44066</v>
      </c>
    </row>
    <row r="217" spans="1:1" x14ac:dyDescent="0.25">
      <c r="A217" s="4">
        <v>44067</v>
      </c>
    </row>
    <row r="218" spans="1:1" x14ac:dyDescent="0.25">
      <c r="A218" s="4">
        <v>44068</v>
      </c>
    </row>
    <row r="219" spans="1:1" x14ac:dyDescent="0.25">
      <c r="A219" s="4">
        <v>44069</v>
      </c>
    </row>
    <row r="220" spans="1:1" x14ac:dyDescent="0.25">
      <c r="A220" s="4">
        <v>44070</v>
      </c>
    </row>
    <row r="221" spans="1:1" x14ac:dyDescent="0.25">
      <c r="A221" s="4">
        <v>44071</v>
      </c>
    </row>
    <row r="222" spans="1:1" x14ac:dyDescent="0.25">
      <c r="A222" s="4">
        <v>44072</v>
      </c>
    </row>
    <row r="223" spans="1:1" x14ac:dyDescent="0.25">
      <c r="A223" s="4">
        <v>44073</v>
      </c>
    </row>
    <row r="224" spans="1:1" x14ac:dyDescent="0.25">
      <c r="A224" s="4">
        <v>44074</v>
      </c>
    </row>
    <row r="225" spans="1:1" x14ac:dyDescent="0.25">
      <c r="A225" s="4">
        <v>44075</v>
      </c>
    </row>
    <row r="226" spans="1:1" x14ac:dyDescent="0.25">
      <c r="A226" s="4">
        <v>44076</v>
      </c>
    </row>
    <row r="227" spans="1:1" x14ac:dyDescent="0.25">
      <c r="A227" s="4">
        <v>44077</v>
      </c>
    </row>
    <row r="228" spans="1:1" x14ac:dyDescent="0.25">
      <c r="A228" s="4">
        <v>44078</v>
      </c>
    </row>
    <row r="229" spans="1:1" x14ac:dyDescent="0.25">
      <c r="A229" s="4">
        <v>44079</v>
      </c>
    </row>
    <row r="230" spans="1:1" x14ac:dyDescent="0.25">
      <c r="A230" s="4">
        <v>44080</v>
      </c>
    </row>
    <row r="231" spans="1:1" x14ac:dyDescent="0.25">
      <c r="A231" s="4">
        <v>44081</v>
      </c>
    </row>
    <row r="232" spans="1:1" x14ac:dyDescent="0.25">
      <c r="A232" s="4">
        <v>44082</v>
      </c>
    </row>
    <row r="233" spans="1:1" x14ac:dyDescent="0.25">
      <c r="A233" s="4">
        <v>44083</v>
      </c>
    </row>
    <row r="234" spans="1:1" x14ac:dyDescent="0.25">
      <c r="A234" s="4">
        <v>44084</v>
      </c>
    </row>
    <row r="235" spans="1:1" x14ac:dyDescent="0.25">
      <c r="A235" s="4">
        <v>44085</v>
      </c>
    </row>
    <row r="236" spans="1:1" x14ac:dyDescent="0.25">
      <c r="A236" s="4">
        <v>44086</v>
      </c>
    </row>
    <row r="237" spans="1:1" x14ac:dyDescent="0.25">
      <c r="A237" s="4">
        <v>44087</v>
      </c>
    </row>
    <row r="238" spans="1:1" x14ac:dyDescent="0.25">
      <c r="A238" s="4">
        <v>44088</v>
      </c>
    </row>
    <row r="239" spans="1:1" x14ac:dyDescent="0.25">
      <c r="A239" s="4">
        <v>44089</v>
      </c>
    </row>
    <row r="240" spans="1:1" x14ac:dyDescent="0.25">
      <c r="A240" s="4">
        <v>44090</v>
      </c>
    </row>
    <row r="241" spans="1:1" x14ac:dyDescent="0.25">
      <c r="A241" s="4">
        <v>44091</v>
      </c>
    </row>
    <row r="242" spans="1:1" x14ac:dyDescent="0.25">
      <c r="A242" s="4">
        <v>44092</v>
      </c>
    </row>
    <row r="243" spans="1:1" x14ac:dyDescent="0.25">
      <c r="A243" s="4">
        <v>44093</v>
      </c>
    </row>
    <row r="244" spans="1:1" x14ac:dyDescent="0.25">
      <c r="A244" s="4">
        <v>44094</v>
      </c>
    </row>
    <row r="245" spans="1:1" x14ac:dyDescent="0.25">
      <c r="A245" s="4">
        <v>44095</v>
      </c>
    </row>
    <row r="246" spans="1:1" x14ac:dyDescent="0.25">
      <c r="A246" s="4">
        <v>44096</v>
      </c>
    </row>
    <row r="247" spans="1:1" x14ac:dyDescent="0.25">
      <c r="A247" s="4">
        <v>44097</v>
      </c>
    </row>
    <row r="248" spans="1:1" x14ac:dyDescent="0.25">
      <c r="A248" s="4">
        <v>44098</v>
      </c>
    </row>
    <row r="249" spans="1:1" x14ac:dyDescent="0.25">
      <c r="A249" s="4">
        <v>44099</v>
      </c>
    </row>
    <row r="250" spans="1:1" x14ac:dyDescent="0.25">
      <c r="A250" s="4">
        <v>44100</v>
      </c>
    </row>
    <row r="251" spans="1:1" x14ac:dyDescent="0.25">
      <c r="A251" s="4">
        <v>44101</v>
      </c>
    </row>
    <row r="252" spans="1:1" x14ac:dyDescent="0.25">
      <c r="A252" s="4">
        <v>44102</v>
      </c>
    </row>
    <row r="253" spans="1:1" x14ac:dyDescent="0.25">
      <c r="A253" s="4">
        <v>44103</v>
      </c>
    </row>
    <row r="254" spans="1:1" x14ac:dyDescent="0.25">
      <c r="A254" s="4">
        <v>44104</v>
      </c>
    </row>
    <row r="255" spans="1:1" x14ac:dyDescent="0.25">
      <c r="A255" s="4">
        <v>44105</v>
      </c>
    </row>
    <row r="256" spans="1:1" x14ac:dyDescent="0.25">
      <c r="A256" s="4">
        <v>44106</v>
      </c>
    </row>
    <row r="257" spans="1:1" x14ac:dyDescent="0.25">
      <c r="A257" s="4">
        <v>44107</v>
      </c>
    </row>
    <row r="258" spans="1:1" x14ac:dyDescent="0.25">
      <c r="A258" s="4">
        <v>44108</v>
      </c>
    </row>
    <row r="259" spans="1:1" x14ac:dyDescent="0.25">
      <c r="A259" s="4">
        <v>44109</v>
      </c>
    </row>
    <row r="260" spans="1:1" x14ac:dyDescent="0.25">
      <c r="A260" s="4">
        <v>44110</v>
      </c>
    </row>
    <row r="261" spans="1:1" x14ac:dyDescent="0.25">
      <c r="A261" s="4">
        <v>44111</v>
      </c>
    </row>
    <row r="262" spans="1:1" x14ac:dyDescent="0.25">
      <c r="A262" s="4">
        <v>44112</v>
      </c>
    </row>
    <row r="263" spans="1:1" x14ac:dyDescent="0.25">
      <c r="A263" s="4">
        <v>44113</v>
      </c>
    </row>
    <row r="264" spans="1:1" x14ac:dyDescent="0.25">
      <c r="A264" s="4">
        <v>44114</v>
      </c>
    </row>
    <row r="265" spans="1:1" x14ac:dyDescent="0.25">
      <c r="A265" s="4">
        <v>44115</v>
      </c>
    </row>
    <row r="266" spans="1:1" x14ac:dyDescent="0.25">
      <c r="A266" s="4">
        <v>44116</v>
      </c>
    </row>
    <row r="267" spans="1:1" x14ac:dyDescent="0.25">
      <c r="A267" s="4">
        <v>44117</v>
      </c>
    </row>
    <row r="268" spans="1:1" x14ac:dyDescent="0.25">
      <c r="A268" s="4">
        <v>44118</v>
      </c>
    </row>
    <row r="269" spans="1:1" x14ac:dyDescent="0.25">
      <c r="A269" s="4">
        <v>44119</v>
      </c>
    </row>
    <row r="270" spans="1:1" x14ac:dyDescent="0.25">
      <c r="A270" s="4">
        <v>44120</v>
      </c>
    </row>
    <row r="271" spans="1:1" x14ac:dyDescent="0.25">
      <c r="A271" s="4">
        <v>44121</v>
      </c>
    </row>
    <row r="272" spans="1:1" x14ac:dyDescent="0.25">
      <c r="A272" s="4">
        <v>44122</v>
      </c>
    </row>
    <row r="273" spans="1:97" x14ac:dyDescent="0.25">
      <c r="A273" s="4">
        <v>44123</v>
      </c>
    </row>
    <row r="274" spans="1:97" x14ac:dyDescent="0.25">
      <c r="A274" s="4">
        <v>44124</v>
      </c>
    </row>
    <row r="275" spans="1:97" x14ac:dyDescent="0.25">
      <c r="A275" s="4">
        <v>44125</v>
      </c>
    </row>
    <row r="276" spans="1:97" x14ac:dyDescent="0.25">
      <c r="A276" s="4">
        <v>44126</v>
      </c>
    </row>
    <row r="277" spans="1:97" x14ac:dyDescent="0.25">
      <c r="A277" s="4">
        <v>44127</v>
      </c>
    </row>
    <row r="278" spans="1:97" x14ac:dyDescent="0.25">
      <c r="A278" s="4">
        <v>44128</v>
      </c>
      <c r="AG278" s="31">
        <v>1</v>
      </c>
      <c r="BN278" s="1">
        <v>15</v>
      </c>
    </row>
    <row r="279" spans="1:97" x14ac:dyDescent="0.25">
      <c r="A279" s="4">
        <v>44129</v>
      </c>
      <c r="AG279" s="31">
        <v>137</v>
      </c>
      <c r="BN279" s="1">
        <v>15</v>
      </c>
      <c r="CS279" s="1">
        <v>137</v>
      </c>
    </row>
    <row r="280" spans="1:97" x14ac:dyDescent="0.25">
      <c r="A280" s="4">
        <v>44130</v>
      </c>
      <c r="AG280" s="31">
        <v>26</v>
      </c>
      <c r="BN280" s="1">
        <v>15</v>
      </c>
    </row>
    <row r="281" spans="1:97" x14ac:dyDescent="0.25">
      <c r="A281" s="4">
        <v>44131</v>
      </c>
      <c r="AG281" s="31">
        <v>19</v>
      </c>
      <c r="BN281" s="1">
        <v>15</v>
      </c>
    </row>
    <row r="282" spans="1:97" x14ac:dyDescent="0.25">
      <c r="A282" s="4">
        <v>44132</v>
      </c>
      <c r="AG282" s="31">
        <v>0</v>
      </c>
      <c r="BN282" s="1">
        <v>15</v>
      </c>
    </row>
    <row r="283" spans="1:97" x14ac:dyDescent="0.25">
      <c r="A283" s="4">
        <v>44133</v>
      </c>
      <c r="AG283" s="31">
        <v>14</v>
      </c>
      <c r="BN283" s="1">
        <v>15</v>
      </c>
    </row>
    <row r="284" spans="1:97" x14ac:dyDescent="0.25">
      <c r="A284" s="4">
        <v>44134</v>
      </c>
      <c r="AG284" s="31">
        <v>15</v>
      </c>
      <c r="BN284" s="1">
        <v>15</v>
      </c>
    </row>
    <row r="285" spans="1:97" x14ac:dyDescent="0.25">
      <c r="A285" s="4">
        <v>44135</v>
      </c>
      <c r="AG285" s="31">
        <v>61</v>
      </c>
      <c r="BN285" s="1">
        <v>15</v>
      </c>
    </row>
    <row r="286" spans="1:97" x14ac:dyDescent="0.25">
      <c r="A286" s="4">
        <v>44136</v>
      </c>
      <c r="AG286" s="31">
        <v>7</v>
      </c>
      <c r="BN286" s="1">
        <v>15</v>
      </c>
    </row>
    <row r="287" spans="1:97" x14ac:dyDescent="0.25">
      <c r="A287" s="4">
        <v>44137</v>
      </c>
      <c r="AG287" s="31">
        <v>13</v>
      </c>
      <c r="BN287" s="1">
        <v>15</v>
      </c>
    </row>
    <row r="288" spans="1:97" x14ac:dyDescent="0.25">
      <c r="A288" s="4">
        <v>44138</v>
      </c>
      <c r="AG288" s="31">
        <v>116</v>
      </c>
      <c r="BN288" s="1">
        <v>15</v>
      </c>
    </row>
    <row r="289" spans="1:66" x14ac:dyDescent="0.25">
      <c r="A289" s="4">
        <v>44139</v>
      </c>
      <c r="AG289" s="31">
        <v>2</v>
      </c>
      <c r="BN289" s="1">
        <v>15</v>
      </c>
    </row>
    <row r="290" spans="1:66" x14ac:dyDescent="0.25">
      <c r="A290" s="4">
        <v>44140</v>
      </c>
      <c r="AG290" s="31">
        <v>15</v>
      </c>
      <c r="BN290" s="1">
        <v>15</v>
      </c>
    </row>
    <row r="291" spans="1:66" x14ac:dyDescent="0.25">
      <c r="A291" s="4">
        <v>44141</v>
      </c>
      <c r="AG291" s="31">
        <v>2</v>
      </c>
      <c r="BN291" s="1">
        <v>15</v>
      </c>
    </row>
    <row r="292" spans="1:66" x14ac:dyDescent="0.25">
      <c r="A292" s="4">
        <v>44142</v>
      </c>
      <c r="AG292" s="31">
        <v>2</v>
      </c>
      <c r="BN292" s="1">
        <v>15</v>
      </c>
    </row>
    <row r="293" spans="1:66" x14ac:dyDescent="0.25">
      <c r="A293" s="4">
        <v>44143</v>
      </c>
    </row>
    <row r="294" spans="1:66" x14ac:dyDescent="0.25">
      <c r="A294" s="4">
        <v>44144</v>
      </c>
    </row>
    <row r="295" spans="1:66" x14ac:dyDescent="0.25">
      <c r="A295" s="4">
        <v>44145</v>
      </c>
    </row>
    <row r="296" spans="1:66" x14ac:dyDescent="0.25">
      <c r="A296" s="4">
        <v>44146</v>
      </c>
    </row>
    <row r="297" spans="1:66" x14ac:dyDescent="0.25">
      <c r="A297" s="4">
        <v>44147</v>
      </c>
    </row>
    <row r="298" spans="1:66" x14ac:dyDescent="0.25">
      <c r="A298" s="4">
        <v>44148</v>
      </c>
    </row>
    <row r="299" spans="1:66" x14ac:dyDescent="0.25">
      <c r="A299" s="4">
        <v>44149</v>
      </c>
    </row>
    <row r="300" spans="1:66" x14ac:dyDescent="0.25">
      <c r="A300" s="4">
        <v>44150</v>
      </c>
    </row>
    <row r="301" spans="1:66" x14ac:dyDescent="0.25">
      <c r="A301" s="4">
        <v>44151</v>
      </c>
    </row>
    <row r="302" spans="1:66" x14ac:dyDescent="0.25">
      <c r="A302" s="4">
        <v>44152</v>
      </c>
    </row>
    <row r="303" spans="1:66" x14ac:dyDescent="0.25">
      <c r="A303" s="4">
        <v>44153</v>
      </c>
    </row>
    <row r="304" spans="1:66" x14ac:dyDescent="0.25">
      <c r="A304" s="4">
        <v>44154</v>
      </c>
    </row>
    <row r="305" spans="1:1" x14ac:dyDescent="0.25">
      <c r="A305" s="4">
        <v>44155</v>
      </c>
    </row>
    <row r="306" spans="1:1" x14ac:dyDescent="0.25">
      <c r="A306" s="4">
        <v>44156</v>
      </c>
    </row>
    <row r="307" spans="1:1" x14ac:dyDescent="0.25">
      <c r="A307" s="4">
        <v>44157</v>
      </c>
    </row>
    <row r="308" spans="1:1" x14ac:dyDescent="0.25">
      <c r="A308" s="4">
        <v>44158</v>
      </c>
    </row>
    <row r="309" spans="1:1" x14ac:dyDescent="0.25">
      <c r="A309" s="4">
        <v>44159</v>
      </c>
    </row>
    <row r="310" spans="1:1" x14ac:dyDescent="0.25">
      <c r="A310" s="4">
        <v>44160</v>
      </c>
    </row>
    <row r="311" spans="1:1" x14ac:dyDescent="0.25">
      <c r="A311" s="4">
        <v>44161</v>
      </c>
    </row>
    <row r="312" spans="1:1" x14ac:dyDescent="0.25">
      <c r="A312" s="4">
        <v>44162</v>
      </c>
    </row>
    <row r="313" spans="1:1" x14ac:dyDescent="0.25">
      <c r="A313" s="4">
        <v>44163</v>
      </c>
    </row>
    <row r="314" spans="1:1" x14ac:dyDescent="0.25">
      <c r="A314" s="4">
        <v>44164</v>
      </c>
    </row>
    <row r="315" spans="1:1" x14ac:dyDescent="0.25">
      <c r="A315" s="4">
        <v>44165</v>
      </c>
    </row>
    <row r="316" spans="1:1" x14ac:dyDescent="0.25">
      <c r="A316" s="4">
        <v>44166</v>
      </c>
    </row>
    <row r="317" spans="1:1" x14ac:dyDescent="0.25">
      <c r="A317" s="4">
        <v>44167</v>
      </c>
    </row>
    <row r="318" spans="1:1" x14ac:dyDescent="0.25">
      <c r="A318" s="4">
        <v>44168</v>
      </c>
    </row>
    <row r="319" spans="1:1" x14ac:dyDescent="0.25">
      <c r="A319" s="4">
        <v>44169</v>
      </c>
    </row>
    <row r="320" spans="1:1" x14ac:dyDescent="0.25">
      <c r="A320" s="4">
        <v>44170</v>
      </c>
    </row>
    <row r="321" spans="1:58" x14ac:dyDescent="0.25">
      <c r="A321" s="4">
        <v>44171</v>
      </c>
    </row>
    <row r="322" spans="1:58" x14ac:dyDescent="0.25">
      <c r="A322" s="4">
        <v>44172</v>
      </c>
    </row>
    <row r="323" spans="1:58" x14ac:dyDescent="0.25">
      <c r="A323" s="4">
        <v>44173</v>
      </c>
    </row>
    <row r="324" spans="1:58" x14ac:dyDescent="0.25">
      <c r="A324" s="4">
        <v>44174</v>
      </c>
    </row>
    <row r="325" spans="1:58" x14ac:dyDescent="0.25">
      <c r="A325" s="4">
        <v>44175</v>
      </c>
    </row>
    <row r="326" spans="1:58" x14ac:dyDescent="0.25">
      <c r="A326" s="4">
        <v>44176</v>
      </c>
    </row>
    <row r="327" spans="1:58" x14ac:dyDescent="0.25">
      <c r="A327" s="4">
        <v>44177</v>
      </c>
    </row>
    <row r="328" spans="1:58" x14ac:dyDescent="0.25">
      <c r="A328" s="4">
        <v>44178</v>
      </c>
    </row>
    <row r="329" spans="1:58" x14ac:dyDescent="0.25">
      <c r="A329" s="4">
        <v>44179</v>
      </c>
    </row>
    <row r="330" spans="1:58" x14ac:dyDescent="0.25">
      <c r="A330" s="4">
        <v>44180</v>
      </c>
      <c r="W330" s="14">
        <v>4</v>
      </c>
      <c r="BF330" s="1">
        <v>28</v>
      </c>
    </row>
    <row r="331" spans="1:58" x14ac:dyDescent="0.25">
      <c r="A331" s="4">
        <v>44181</v>
      </c>
      <c r="W331" s="14">
        <v>0</v>
      </c>
      <c r="BF331" s="1">
        <v>28</v>
      </c>
    </row>
    <row r="332" spans="1:58" x14ac:dyDescent="0.25">
      <c r="A332" s="4">
        <v>44182</v>
      </c>
      <c r="W332" s="14">
        <v>2</v>
      </c>
      <c r="BF332" s="1">
        <v>28</v>
      </c>
    </row>
    <row r="333" spans="1:58" x14ac:dyDescent="0.25">
      <c r="A333" s="4">
        <v>44183</v>
      </c>
      <c r="W333" s="14">
        <v>1</v>
      </c>
      <c r="BF333" s="1">
        <v>28</v>
      </c>
    </row>
    <row r="334" spans="1:58" x14ac:dyDescent="0.25">
      <c r="A334" s="4">
        <v>44184</v>
      </c>
      <c r="W334" s="14">
        <v>1</v>
      </c>
      <c r="BF334" s="1">
        <v>28</v>
      </c>
    </row>
    <row r="335" spans="1:58" x14ac:dyDescent="0.25">
      <c r="A335" s="4">
        <v>44185</v>
      </c>
      <c r="W335" s="14">
        <v>1</v>
      </c>
      <c r="BF335" s="1">
        <v>28</v>
      </c>
    </row>
    <row r="336" spans="1:58" x14ac:dyDescent="0.25">
      <c r="A336" s="4">
        <v>44186</v>
      </c>
      <c r="W336" s="14">
        <v>8</v>
      </c>
      <c r="BF336" s="1">
        <v>28</v>
      </c>
    </row>
    <row r="337" spans="1:89" x14ac:dyDescent="0.25">
      <c r="A337" s="4">
        <v>44187</v>
      </c>
      <c r="W337" s="14">
        <v>9</v>
      </c>
      <c r="BF337" s="1">
        <v>28</v>
      </c>
    </row>
    <row r="338" spans="1:89" x14ac:dyDescent="0.25">
      <c r="A338" s="4">
        <v>44188</v>
      </c>
      <c r="W338" s="14">
        <v>8</v>
      </c>
      <c r="BF338" s="1">
        <v>28</v>
      </c>
    </row>
    <row r="339" spans="1:89" x14ac:dyDescent="0.25">
      <c r="A339" s="4">
        <v>44189</v>
      </c>
      <c r="W339" s="14">
        <v>7</v>
      </c>
      <c r="BF339" s="1">
        <v>28</v>
      </c>
    </row>
    <row r="340" spans="1:89" x14ac:dyDescent="0.25">
      <c r="A340" s="4">
        <v>44190</v>
      </c>
      <c r="W340" s="14">
        <v>8</v>
      </c>
      <c r="BF340" s="1">
        <v>28</v>
      </c>
    </row>
    <row r="341" spans="1:89" x14ac:dyDescent="0.25">
      <c r="A341" s="4">
        <v>44191</v>
      </c>
      <c r="W341" s="14">
        <v>10</v>
      </c>
      <c r="BF341" s="1">
        <v>28</v>
      </c>
      <c r="CK341" s="1">
        <v>10</v>
      </c>
    </row>
    <row r="342" spans="1:89" x14ac:dyDescent="0.25">
      <c r="A342" s="4">
        <v>44192</v>
      </c>
      <c r="W342" s="14">
        <v>9</v>
      </c>
      <c r="BF342" s="1">
        <v>28</v>
      </c>
    </row>
    <row r="343" spans="1:89" x14ac:dyDescent="0.25">
      <c r="A343" s="4">
        <v>44193</v>
      </c>
      <c r="W343" s="14">
        <v>10</v>
      </c>
      <c r="BF343" s="1">
        <v>28</v>
      </c>
      <c r="CK343" s="1">
        <v>10</v>
      </c>
    </row>
    <row r="344" spans="1:89" x14ac:dyDescent="0.25">
      <c r="A344" s="4">
        <v>44194</v>
      </c>
      <c r="W344" s="14">
        <v>6</v>
      </c>
      <c r="BF344" s="1">
        <v>28</v>
      </c>
    </row>
    <row r="345" spans="1:89" x14ac:dyDescent="0.25">
      <c r="A345" s="4">
        <v>44195</v>
      </c>
      <c r="W345" s="14">
        <v>6</v>
      </c>
      <c r="BF345" s="1">
        <v>28</v>
      </c>
    </row>
    <row r="346" spans="1:89" x14ac:dyDescent="0.25">
      <c r="A346" s="4">
        <v>44196</v>
      </c>
      <c r="W346" s="14">
        <v>6</v>
      </c>
      <c r="BF346" s="1">
        <v>28</v>
      </c>
    </row>
    <row r="347" spans="1:89" x14ac:dyDescent="0.25">
      <c r="A347" s="4">
        <v>44197</v>
      </c>
      <c r="W347" s="14">
        <v>6</v>
      </c>
      <c r="BF347" s="1">
        <v>28</v>
      </c>
    </row>
    <row r="348" spans="1:89" x14ac:dyDescent="0.25">
      <c r="A348" s="4">
        <v>44198</v>
      </c>
      <c r="T348" s="14">
        <v>1</v>
      </c>
      <c r="W348" s="14">
        <v>2</v>
      </c>
      <c r="BC348" s="1">
        <v>33</v>
      </c>
      <c r="BF348" s="1">
        <v>28</v>
      </c>
    </row>
    <row r="349" spans="1:89" x14ac:dyDescent="0.25">
      <c r="A349" s="4">
        <v>44199</v>
      </c>
      <c r="T349" s="14">
        <v>4</v>
      </c>
      <c r="W349" s="14">
        <v>5</v>
      </c>
      <c r="BC349" s="1">
        <v>33</v>
      </c>
      <c r="BF349" s="1">
        <v>28</v>
      </c>
    </row>
    <row r="350" spans="1:89" x14ac:dyDescent="0.25">
      <c r="A350" s="4">
        <v>44200</v>
      </c>
      <c r="T350" s="14">
        <v>14</v>
      </c>
      <c r="W350" s="14">
        <v>3</v>
      </c>
      <c r="BC350" s="1">
        <v>33</v>
      </c>
      <c r="BF350" s="1">
        <v>28</v>
      </c>
    </row>
    <row r="351" spans="1:89" x14ac:dyDescent="0.25">
      <c r="A351" s="4">
        <v>44201</v>
      </c>
      <c r="T351" s="14">
        <v>20</v>
      </c>
      <c r="W351" s="14">
        <v>2</v>
      </c>
      <c r="BC351" s="1">
        <v>33</v>
      </c>
      <c r="BF351" s="1">
        <v>28</v>
      </c>
    </row>
    <row r="352" spans="1:89" x14ac:dyDescent="0.25">
      <c r="A352" s="4">
        <v>44202</v>
      </c>
      <c r="T352" s="14">
        <v>53</v>
      </c>
      <c r="W352" s="14">
        <v>2</v>
      </c>
      <c r="BC352" s="1">
        <v>33</v>
      </c>
      <c r="BF352" s="1">
        <v>28</v>
      </c>
    </row>
    <row r="353" spans="1:86" x14ac:dyDescent="0.25">
      <c r="A353" s="4">
        <v>44203</v>
      </c>
      <c r="T353" s="14">
        <v>33</v>
      </c>
      <c r="W353" s="14">
        <v>2</v>
      </c>
      <c r="BC353" s="1">
        <v>33</v>
      </c>
      <c r="BF353" s="1">
        <v>28</v>
      </c>
    </row>
    <row r="354" spans="1:86" x14ac:dyDescent="0.25">
      <c r="A354" s="4">
        <v>44204</v>
      </c>
      <c r="T354" s="14">
        <v>14</v>
      </c>
      <c r="W354" s="14">
        <v>4</v>
      </c>
      <c r="BC354" s="1">
        <v>33</v>
      </c>
      <c r="BF354" s="1">
        <v>28</v>
      </c>
    </row>
    <row r="355" spans="1:86" x14ac:dyDescent="0.25">
      <c r="A355" s="4">
        <v>44205</v>
      </c>
      <c r="T355" s="14">
        <v>46</v>
      </c>
      <c r="W355" s="14">
        <v>1</v>
      </c>
      <c r="BC355" s="1">
        <v>33</v>
      </c>
      <c r="BF355" s="1">
        <v>28</v>
      </c>
    </row>
    <row r="356" spans="1:86" x14ac:dyDescent="0.25">
      <c r="A356" s="4">
        <v>44206</v>
      </c>
      <c r="T356" s="14">
        <v>82</v>
      </c>
      <c r="W356" s="14">
        <v>0</v>
      </c>
      <c r="BC356" s="1">
        <v>33</v>
      </c>
      <c r="BF356" s="1">
        <v>28</v>
      </c>
    </row>
    <row r="357" spans="1:86" x14ac:dyDescent="0.25">
      <c r="A357" s="4">
        <v>44207</v>
      </c>
      <c r="Q357" s="5">
        <v>1</v>
      </c>
      <c r="T357" s="14">
        <v>40</v>
      </c>
      <c r="W357" s="14">
        <v>1</v>
      </c>
      <c r="BA357" s="1">
        <v>26</v>
      </c>
      <c r="BC357" s="1">
        <v>33</v>
      </c>
      <c r="BF357" s="1">
        <v>28</v>
      </c>
    </row>
    <row r="358" spans="1:86" x14ac:dyDescent="0.25">
      <c r="A358" s="4">
        <v>44208</v>
      </c>
      <c r="Q358" s="5">
        <v>16</v>
      </c>
      <c r="T358" s="14">
        <v>90</v>
      </c>
      <c r="BA358" s="1">
        <v>26</v>
      </c>
      <c r="BC358" s="1">
        <v>33</v>
      </c>
      <c r="CH358" s="1">
        <v>90</v>
      </c>
    </row>
    <row r="359" spans="1:86" x14ac:dyDescent="0.25">
      <c r="A359" s="4">
        <v>44209</v>
      </c>
      <c r="Q359" s="5">
        <v>43</v>
      </c>
      <c r="T359" s="14">
        <v>81</v>
      </c>
      <c r="BA359" s="1">
        <v>26</v>
      </c>
      <c r="BC359" s="1">
        <v>33</v>
      </c>
    </row>
    <row r="360" spans="1:86" x14ac:dyDescent="0.25">
      <c r="A360" s="4">
        <v>44210</v>
      </c>
      <c r="Q360" s="5">
        <v>43</v>
      </c>
      <c r="T360" s="14">
        <v>90</v>
      </c>
      <c r="BA360" s="1">
        <v>26</v>
      </c>
      <c r="BC360" s="1">
        <v>33</v>
      </c>
      <c r="CH360" s="1">
        <v>90</v>
      </c>
    </row>
    <row r="361" spans="1:86" x14ac:dyDescent="0.25">
      <c r="A361" s="4">
        <v>44211</v>
      </c>
      <c r="Q361" s="5">
        <v>23</v>
      </c>
      <c r="T361" s="14">
        <v>90</v>
      </c>
      <c r="BA361" s="1">
        <v>26</v>
      </c>
      <c r="BC361" s="1">
        <v>33</v>
      </c>
      <c r="CH361" s="1">
        <v>90</v>
      </c>
    </row>
    <row r="362" spans="1:86" x14ac:dyDescent="0.25">
      <c r="A362" s="4">
        <v>44212</v>
      </c>
      <c r="Q362" s="5">
        <v>12</v>
      </c>
      <c r="T362" s="14">
        <v>72</v>
      </c>
      <c r="V362" s="14">
        <v>10</v>
      </c>
      <c r="BA362" s="1">
        <v>26</v>
      </c>
      <c r="BC362" s="1">
        <v>33</v>
      </c>
      <c r="BE362" s="1">
        <v>22</v>
      </c>
    </row>
    <row r="363" spans="1:86" x14ac:dyDescent="0.25">
      <c r="A363" s="4">
        <v>44213</v>
      </c>
      <c r="Q363" s="5">
        <v>7</v>
      </c>
      <c r="T363" s="14">
        <v>54</v>
      </c>
      <c r="V363" s="14">
        <v>30</v>
      </c>
      <c r="BA363" s="1">
        <v>26</v>
      </c>
      <c r="BC363" s="1">
        <v>33</v>
      </c>
      <c r="BE363" s="1">
        <v>22</v>
      </c>
    </row>
    <row r="364" spans="1:86" x14ac:dyDescent="0.25">
      <c r="A364" s="4">
        <v>44214</v>
      </c>
      <c r="Q364" s="5">
        <v>27</v>
      </c>
      <c r="T364" s="14">
        <v>35</v>
      </c>
      <c r="V364" s="14">
        <v>43</v>
      </c>
      <c r="BA364" s="1">
        <v>26</v>
      </c>
      <c r="BC364" s="1">
        <v>33</v>
      </c>
      <c r="BE364" s="1">
        <v>22</v>
      </c>
    </row>
    <row r="365" spans="1:86" x14ac:dyDescent="0.25">
      <c r="A365" s="4">
        <v>44215</v>
      </c>
      <c r="Q365" s="5">
        <v>16</v>
      </c>
      <c r="T365" s="14">
        <v>19</v>
      </c>
      <c r="V365" s="14">
        <v>46</v>
      </c>
      <c r="BA365" s="1">
        <v>26</v>
      </c>
      <c r="BC365" s="1">
        <v>33</v>
      </c>
      <c r="BE365" s="1">
        <v>22</v>
      </c>
    </row>
    <row r="366" spans="1:86" x14ac:dyDescent="0.25">
      <c r="A366" s="4">
        <v>44216</v>
      </c>
      <c r="Q366" s="5">
        <v>68</v>
      </c>
      <c r="T366" s="14">
        <v>20</v>
      </c>
      <c r="V366" s="14">
        <v>33</v>
      </c>
      <c r="BA366" s="1">
        <v>26</v>
      </c>
      <c r="BC366" s="1">
        <v>33</v>
      </c>
      <c r="BE366" s="1">
        <v>22</v>
      </c>
      <c r="CF366" s="1">
        <v>68</v>
      </c>
    </row>
    <row r="367" spans="1:86" x14ac:dyDescent="0.25">
      <c r="A367" s="4">
        <v>44217</v>
      </c>
      <c r="Q367" s="5">
        <v>47</v>
      </c>
      <c r="T367" s="14">
        <v>21</v>
      </c>
      <c r="V367" s="14">
        <v>23</v>
      </c>
      <c r="BA367" s="1">
        <v>26</v>
      </c>
      <c r="BC367" s="1">
        <v>33</v>
      </c>
      <c r="BE367" s="1">
        <v>22</v>
      </c>
    </row>
    <row r="368" spans="1:86" x14ac:dyDescent="0.25">
      <c r="A368" s="4">
        <v>44218</v>
      </c>
      <c r="Q368" s="5">
        <v>56</v>
      </c>
      <c r="T368" s="14">
        <v>12</v>
      </c>
      <c r="V368" s="14">
        <v>9</v>
      </c>
      <c r="BA368" s="1">
        <v>26</v>
      </c>
      <c r="BC368" s="1">
        <v>33</v>
      </c>
      <c r="BE368" s="1">
        <v>22</v>
      </c>
    </row>
    <row r="369" spans="1:88" x14ac:dyDescent="0.25">
      <c r="A369" s="4">
        <v>44219</v>
      </c>
      <c r="Q369" s="5">
        <v>29</v>
      </c>
      <c r="T369" s="14">
        <v>19</v>
      </c>
      <c r="V369" s="14">
        <v>12</v>
      </c>
      <c r="BA369" s="1">
        <v>26</v>
      </c>
      <c r="BC369" s="1">
        <v>33</v>
      </c>
      <c r="BE369" s="1">
        <v>22</v>
      </c>
    </row>
    <row r="370" spans="1:88" x14ac:dyDescent="0.25">
      <c r="A370" s="4">
        <v>44220</v>
      </c>
      <c r="Q370" s="5">
        <v>35</v>
      </c>
      <c r="T370" s="14">
        <v>11</v>
      </c>
      <c r="V370" s="14">
        <v>67</v>
      </c>
      <c r="BA370" s="1">
        <v>26</v>
      </c>
      <c r="BC370" s="1">
        <v>33</v>
      </c>
      <c r="BE370" s="1">
        <v>22</v>
      </c>
      <c r="CJ370" s="1">
        <v>67</v>
      </c>
    </row>
    <row r="371" spans="1:88" x14ac:dyDescent="0.25">
      <c r="A371" s="4">
        <v>44221</v>
      </c>
      <c r="Q371" s="5">
        <v>53</v>
      </c>
      <c r="T371" s="14">
        <v>5</v>
      </c>
      <c r="V371" s="14">
        <v>7</v>
      </c>
      <c r="BA371" s="1">
        <v>26</v>
      </c>
      <c r="BC371" s="1">
        <v>33</v>
      </c>
      <c r="BE371" s="1">
        <v>22</v>
      </c>
    </row>
    <row r="372" spans="1:88" x14ac:dyDescent="0.25">
      <c r="A372" s="4">
        <v>44222</v>
      </c>
      <c r="Q372" s="5">
        <v>29</v>
      </c>
      <c r="T372" s="14">
        <v>7</v>
      </c>
      <c r="V372" s="14">
        <v>14</v>
      </c>
      <c r="BA372" s="1">
        <v>26</v>
      </c>
      <c r="BC372" s="1">
        <v>33</v>
      </c>
      <c r="BE372" s="1">
        <v>22</v>
      </c>
    </row>
    <row r="373" spans="1:88" x14ac:dyDescent="0.25">
      <c r="A373" s="4">
        <v>44223</v>
      </c>
      <c r="Q373" s="5">
        <v>28</v>
      </c>
      <c r="T373" s="14">
        <v>3</v>
      </c>
      <c r="V373" s="14">
        <v>9</v>
      </c>
      <c r="BA373" s="1">
        <v>26</v>
      </c>
      <c r="BC373" s="1">
        <v>33</v>
      </c>
      <c r="BE373" s="1">
        <v>22</v>
      </c>
    </row>
    <row r="374" spans="1:88" x14ac:dyDescent="0.25">
      <c r="A374" s="4">
        <v>44224</v>
      </c>
      <c r="Q374" s="5">
        <v>21</v>
      </c>
      <c r="T374" s="14">
        <v>1</v>
      </c>
      <c r="V374" s="14">
        <v>13</v>
      </c>
      <c r="BA374" s="1">
        <v>26</v>
      </c>
      <c r="BC374" s="1">
        <v>33</v>
      </c>
      <c r="BE374" s="1">
        <v>22</v>
      </c>
    </row>
    <row r="375" spans="1:88" x14ac:dyDescent="0.25">
      <c r="A375" s="4">
        <v>44225</v>
      </c>
      <c r="Q375" s="5">
        <v>27</v>
      </c>
      <c r="T375" s="14">
        <v>1</v>
      </c>
      <c r="V375" s="14">
        <v>5</v>
      </c>
      <c r="BA375" s="1">
        <v>26</v>
      </c>
      <c r="BC375" s="1">
        <v>33</v>
      </c>
      <c r="BE375" s="1">
        <v>22</v>
      </c>
    </row>
    <row r="376" spans="1:88" x14ac:dyDescent="0.25">
      <c r="A376" s="4">
        <v>44226</v>
      </c>
      <c r="Q376" s="5">
        <v>9</v>
      </c>
      <c r="T376" s="14">
        <v>1</v>
      </c>
      <c r="V376" s="14">
        <v>63</v>
      </c>
      <c r="BA376" s="1">
        <v>26</v>
      </c>
      <c r="BC376" s="1">
        <v>33</v>
      </c>
      <c r="BE376" s="1">
        <v>22</v>
      </c>
    </row>
    <row r="377" spans="1:88" x14ac:dyDescent="0.25">
      <c r="A377" s="4">
        <v>44227</v>
      </c>
      <c r="Q377" s="5">
        <v>22</v>
      </c>
      <c r="T377" s="14">
        <v>1</v>
      </c>
      <c r="V377" s="14">
        <v>10</v>
      </c>
      <c r="BA377" s="1">
        <v>26</v>
      </c>
      <c r="BC377" s="1">
        <v>33</v>
      </c>
      <c r="BE377" s="1">
        <v>22</v>
      </c>
    </row>
    <row r="378" spans="1:88" x14ac:dyDescent="0.25">
      <c r="A378" s="4">
        <v>44228</v>
      </c>
      <c r="Q378" s="5">
        <v>8</v>
      </c>
      <c r="T378" s="14">
        <v>0</v>
      </c>
      <c r="V378" s="14">
        <v>4</v>
      </c>
      <c r="BA378" s="1">
        <v>26</v>
      </c>
      <c r="BC378" s="1">
        <v>33</v>
      </c>
      <c r="BE378" s="1">
        <v>22</v>
      </c>
    </row>
    <row r="379" spans="1:88" x14ac:dyDescent="0.25">
      <c r="A379" s="4">
        <v>44229</v>
      </c>
      <c r="Q379" s="5">
        <v>6</v>
      </c>
      <c r="T379" s="14">
        <v>1</v>
      </c>
      <c r="V379" s="14">
        <v>8</v>
      </c>
      <c r="BA379" s="1">
        <v>26</v>
      </c>
      <c r="BC379" s="1">
        <v>33</v>
      </c>
      <c r="BE379" s="1">
        <v>22</v>
      </c>
    </row>
    <row r="380" spans="1:88" x14ac:dyDescent="0.25">
      <c r="A380" s="4">
        <v>44230</v>
      </c>
      <c r="Q380" s="5">
        <v>4</v>
      </c>
      <c r="T380" s="14">
        <v>2</v>
      </c>
      <c r="V380" s="14">
        <v>8</v>
      </c>
      <c r="BA380" s="1">
        <v>26</v>
      </c>
      <c r="BC380" s="1">
        <v>33</v>
      </c>
      <c r="BE380" s="1">
        <v>22</v>
      </c>
    </row>
    <row r="381" spans="1:88" x14ac:dyDescent="0.25">
      <c r="A381" s="4">
        <v>44231</v>
      </c>
      <c r="Q381" s="5">
        <v>5</v>
      </c>
      <c r="V381" s="14">
        <v>0</v>
      </c>
      <c r="BA381" s="1">
        <v>26</v>
      </c>
      <c r="BE381" s="1">
        <v>22</v>
      </c>
    </row>
    <row r="382" spans="1:88" x14ac:dyDescent="0.25">
      <c r="A382" s="4">
        <v>44232</v>
      </c>
      <c r="Q382" s="5">
        <v>3</v>
      </c>
      <c r="V382" s="14">
        <v>1</v>
      </c>
      <c r="BA382" s="1">
        <v>26</v>
      </c>
      <c r="BE382" s="1">
        <v>22</v>
      </c>
    </row>
    <row r="383" spans="1:88" x14ac:dyDescent="0.25">
      <c r="A383" s="4">
        <v>44233</v>
      </c>
      <c r="V383" s="14">
        <v>1</v>
      </c>
      <c r="BE383" s="1">
        <v>22</v>
      </c>
    </row>
    <row r="384" spans="1:88" x14ac:dyDescent="0.25">
      <c r="A384" s="4">
        <v>44234</v>
      </c>
    </row>
    <row r="385" spans="1:1" x14ac:dyDescent="0.25">
      <c r="A385" s="4">
        <v>44235</v>
      </c>
    </row>
    <row r="386" spans="1:1" x14ac:dyDescent="0.25">
      <c r="A386" s="4">
        <v>44236</v>
      </c>
    </row>
    <row r="387" spans="1:1" x14ac:dyDescent="0.25">
      <c r="A387" s="4">
        <v>44237</v>
      </c>
    </row>
    <row r="388" spans="1:1" x14ac:dyDescent="0.25">
      <c r="A388" s="4">
        <v>44238</v>
      </c>
    </row>
    <row r="389" spans="1:1" x14ac:dyDescent="0.25">
      <c r="A389" s="4">
        <v>44239</v>
      </c>
    </row>
    <row r="390" spans="1:1" x14ac:dyDescent="0.25">
      <c r="A390" s="4">
        <v>44240</v>
      </c>
    </row>
    <row r="391" spans="1:1" x14ac:dyDescent="0.25">
      <c r="A391" s="4">
        <v>44241</v>
      </c>
    </row>
    <row r="392" spans="1:1" x14ac:dyDescent="0.25">
      <c r="A392" s="4">
        <v>44242</v>
      </c>
    </row>
    <row r="393" spans="1:1" x14ac:dyDescent="0.25">
      <c r="A393" s="4">
        <v>44243</v>
      </c>
    </row>
    <row r="394" spans="1:1" x14ac:dyDescent="0.25">
      <c r="A394" s="4">
        <v>44244</v>
      </c>
    </row>
    <row r="395" spans="1:1" x14ac:dyDescent="0.25">
      <c r="A395" s="4">
        <v>44245</v>
      </c>
    </row>
    <row r="396" spans="1:1" x14ac:dyDescent="0.25">
      <c r="A396" s="4">
        <v>44246</v>
      </c>
    </row>
    <row r="397" spans="1:1" x14ac:dyDescent="0.25">
      <c r="A397" s="4">
        <v>44247</v>
      </c>
    </row>
    <row r="398" spans="1:1" x14ac:dyDescent="0.25">
      <c r="A398" s="4">
        <v>44248</v>
      </c>
    </row>
    <row r="399" spans="1:1" x14ac:dyDescent="0.25">
      <c r="A399" s="4">
        <v>44249</v>
      </c>
    </row>
    <row r="400" spans="1:1" x14ac:dyDescent="0.25">
      <c r="A400" s="4">
        <v>44250</v>
      </c>
    </row>
    <row r="401" spans="1:1" x14ac:dyDescent="0.25">
      <c r="A401" s="4">
        <v>44251</v>
      </c>
    </row>
    <row r="402" spans="1:1" x14ac:dyDescent="0.25">
      <c r="A402" s="4">
        <v>44252</v>
      </c>
    </row>
    <row r="403" spans="1:1" x14ac:dyDescent="0.25">
      <c r="A403" s="4">
        <v>44253</v>
      </c>
    </row>
    <row r="404" spans="1:1" x14ac:dyDescent="0.25">
      <c r="A404" s="4">
        <v>44254</v>
      </c>
    </row>
    <row r="405" spans="1:1" x14ac:dyDescent="0.25">
      <c r="A405" s="4">
        <v>44255</v>
      </c>
    </row>
    <row r="406" spans="1:1" x14ac:dyDescent="0.25">
      <c r="A406" s="4">
        <v>44256</v>
      </c>
    </row>
    <row r="407" spans="1:1" x14ac:dyDescent="0.25">
      <c r="A407" s="4">
        <v>44257</v>
      </c>
    </row>
    <row r="408" spans="1:1" x14ac:dyDescent="0.25">
      <c r="A408" s="4">
        <v>44258</v>
      </c>
    </row>
    <row r="409" spans="1:1" x14ac:dyDescent="0.25">
      <c r="A409" s="4">
        <v>44259</v>
      </c>
    </row>
    <row r="410" spans="1:1" x14ac:dyDescent="0.25">
      <c r="A410" s="4">
        <v>44260</v>
      </c>
    </row>
    <row r="411" spans="1:1" x14ac:dyDescent="0.25">
      <c r="A411" s="4">
        <v>44261</v>
      </c>
    </row>
    <row r="412" spans="1:1" x14ac:dyDescent="0.25">
      <c r="A412" s="4">
        <v>44262</v>
      </c>
    </row>
    <row r="413" spans="1:1" x14ac:dyDescent="0.25">
      <c r="A413" s="4">
        <v>44263</v>
      </c>
    </row>
    <row r="414" spans="1:1" x14ac:dyDescent="0.25">
      <c r="A414" s="4">
        <v>44264</v>
      </c>
    </row>
    <row r="415" spans="1:1" x14ac:dyDescent="0.25">
      <c r="A415" s="4">
        <v>44265</v>
      </c>
    </row>
    <row r="416" spans="1:1" x14ac:dyDescent="0.25">
      <c r="A416" s="4">
        <v>44266</v>
      </c>
    </row>
    <row r="417" spans="1:1" x14ac:dyDescent="0.25">
      <c r="A417" s="4">
        <v>44267</v>
      </c>
    </row>
    <row r="418" spans="1:1" x14ac:dyDescent="0.25">
      <c r="A418" s="4">
        <v>44268</v>
      </c>
    </row>
    <row r="419" spans="1:1" x14ac:dyDescent="0.25">
      <c r="A419" s="4">
        <v>44269</v>
      </c>
    </row>
    <row r="420" spans="1:1" x14ac:dyDescent="0.25">
      <c r="A420" s="4">
        <v>44270</v>
      </c>
    </row>
    <row r="421" spans="1:1" x14ac:dyDescent="0.25">
      <c r="A421" s="4">
        <v>44271</v>
      </c>
    </row>
    <row r="422" spans="1:1" x14ac:dyDescent="0.25">
      <c r="A422" s="4">
        <v>44272</v>
      </c>
    </row>
    <row r="423" spans="1:1" x14ac:dyDescent="0.25">
      <c r="A423" s="4">
        <v>44273</v>
      </c>
    </row>
    <row r="424" spans="1:1" x14ac:dyDescent="0.25">
      <c r="A424" s="4">
        <v>44274</v>
      </c>
    </row>
    <row r="425" spans="1:1" x14ac:dyDescent="0.25">
      <c r="A425" s="4">
        <v>44275</v>
      </c>
    </row>
    <row r="426" spans="1:1" x14ac:dyDescent="0.25">
      <c r="A426" s="4">
        <v>44276</v>
      </c>
    </row>
    <row r="427" spans="1:1" x14ac:dyDescent="0.25">
      <c r="A427" s="4">
        <v>44277</v>
      </c>
    </row>
    <row r="428" spans="1:1" x14ac:dyDescent="0.25">
      <c r="A428" s="4">
        <v>44278</v>
      </c>
    </row>
    <row r="429" spans="1:1" x14ac:dyDescent="0.25">
      <c r="A429" s="4">
        <v>44279</v>
      </c>
    </row>
    <row r="430" spans="1:1" x14ac:dyDescent="0.25">
      <c r="A430" s="4">
        <v>44280</v>
      </c>
    </row>
    <row r="431" spans="1:1" x14ac:dyDescent="0.25">
      <c r="A431" s="4">
        <v>44281</v>
      </c>
    </row>
    <row r="432" spans="1:1" x14ac:dyDescent="0.25">
      <c r="A432" s="4">
        <v>44282</v>
      </c>
    </row>
    <row r="433" spans="1:98" x14ac:dyDescent="0.25">
      <c r="A433" s="4">
        <v>44283</v>
      </c>
    </row>
    <row r="434" spans="1:98" x14ac:dyDescent="0.25">
      <c r="A434" s="4">
        <v>44284</v>
      </c>
    </row>
    <row r="435" spans="1:98" x14ac:dyDescent="0.25">
      <c r="A435" s="4">
        <v>44285</v>
      </c>
      <c r="AH435" s="13">
        <v>9</v>
      </c>
      <c r="BO435" s="1">
        <v>22</v>
      </c>
    </row>
    <row r="436" spans="1:98" x14ac:dyDescent="0.25">
      <c r="A436" s="4">
        <v>44286</v>
      </c>
      <c r="AH436" s="13">
        <v>29</v>
      </c>
      <c r="BO436" s="1">
        <v>22</v>
      </c>
      <c r="CT436" s="1">
        <v>29</v>
      </c>
    </row>
    <row r="437" spans="1:98" x14ac:dyDescent="0.25">
      <c r="A437" s="4">
        <v>44287</v>
      </c>
      <c r="AH437" s="13">
        <v>8</v>
      </c>
      <c r="BO437" s="1">
        <v>22</v>
      </c>
    </row>
    <row r="438" spans="1:98" x14ac:dyDescent="0.25">
      <c r="A438" s="4">
        <v>44288</v>
      </c>
      <c r="AH438" s="13">
        <v>11</v>
      </c>
      <c r="BO438" s="1">
        <v>22</v>
      </c>
    </row>
    <row r="439" spans="1:98" x14ac:dyDescent="0.25">
      <c r="A439" s="4">
        <v>44289</v>
      </c>
      <c r="AH439" s="13">
        <v>8</v>
      </c>
      <c r="BO439" s="1">
        <v>22</v>
      </c>
    </row>
    <row r="440" spans="1:98" x14ac:dyDescent="0.25">
      <c r="A440" s="4">
        <v>44290</v>
      </c>
      <c r="AH440" s="13">
        <v>20</v>
      </c>
      <c r="BO440" s="1">
        <v>22</v>
      </c>
    </row>
    <row r="441" spans="1:98" x14ac:dyDescent="0.25">
      <c r="A441" s="4">
        <v>44291</v>
      </c>
      <c r="AH441" s="13">
        <v>5</v>
      </c>
      <c r="BO441" s="1">
        <v>22</v>
      </c>
    </row>
    <row r="442" spans="1:98" x14ac:dyDescent="0.25">
      <c r="A442" s="4">
        <v>44292</v>
      </c>
      <c r="AH442" s="13">
        <v>2</v>
      </c>
      <c r="BO442" s="1">
        <v>22</v>
      </c>
    </row>
    <row r="443" spans="1:98" x14ac:dyDescent="0.25">
      <c r="A443" s="4">
        <v>44293</v>
      </c>
      <c r="AH443" s="13">
        <v>9</v>
      </c>
      <c r="BO443" s="1">
        <v>22</v>
      </c>
    </row>
    <row r="444" spans="1:98" x14ac:dyDescent="0.25">
      <c r="A444" s="4">
        <v>44294</v>
      </c>
      <c r="AH444" s="13">
        <v>8</v>
      </c>
      <c r="BO444" s="1">
        <v>22</v>
      </c>
    </row>
    <row r="445" spans="1:98" x14ac:dyDescent="0.25">
      <c r="A445" s="4">
        <v>44295</v>
      </c>
      <c r="AH445" s="13">
        <v>0</v>
      </c>
      <c r="BO445" s="1">
        <v>22</v>
      </c>
    </row>
    <row r="446" spans="1:98" x14ac:dyDescent="0.25">
      <c r="A446" s="4">
        <v>44296</v>
      </c>
      <c r="AH446" s="13">
        <v>0</v>
      </c>
      <c r="BO446" s="1">
        <v>22</v>
      </c>
    </row>
    <row r="447" spans="1:98" x14ac:dyDescent="0.25">
      <c r="A447" s="4">
        <v>44297</v>
      </c>
      <c r="AH447" s="13">
        <v>2</v>
      </c>
      <c r="BO447" s="1">
        <v>22</v>
      </c>
    </row>
    <row r="448" spans="1:98" x14ac:dyDescent="0.25">
      <c r="A448" s="4">
        <v>44298</v>
      </c>
      <c r="AH448" s="13">
        <v>1</v>
      </c>
      <c r="BO448" s="1">
        <v>22</v>
      </c>
    </row>
    <row r="449" spans="1:67" x14ac:dyDescent="0.25">
      <c r="A449" s="4">
        <v>44299</v>
      </c>
      <c r="AH449" s="13">
        <v>1</v>
      </c>
      <c r="BO449" s="1">
        <v>22</v>
      </c>
    </row>
    <row r="450" spans="1:67" x14ac:dyDescent="0.25">
      <c r="A450" s="4">
        <v>44300</v>
      </c>
      <c r="AH450" s="13">
        <v>0</v>
      </c>
      <c r="BO450" s="1">
        <v>22</v>
      </c>
    </row>
    <row r="451" spans="1:67" x14ac:dyDescent="0.25">
      <c r="A451" s="4">
        <v>44301</v>
      </c>
      <c r="AH451" s="13">
        <v>1</v>
      </c>
      <c r="BO451" s="1">
        <v>22</v>
      </c>
    </row>
    <row r="452" spans="1:67" x14ac:dyDescent="0.25">
      <c r="A452" s="4">
        <v>44302</v>
      </c>
      <c r="AH452" s="13">
        <v>1</v>
      </c>
      <c r="BO452" s="1">
        <v>22</v>
      </c>
    </row>
    <row r="453" spans="1:67" x14ac:dyDescent="0.25">
      <c r="A453" s="4">
        <v>44303</v>
      </c>
      <c r="AH453" s="13">
        <v>0</v>
      </c>
      <c r="BO453" s="1">
        <v>22</v>
      </c>
    </row>
    <row r="454" spans="1:67" x14ac:dyDescent="0.25">
      <c r="A454" s="4">
        <v>44304</v>
      </c>
      <c r="AH454" s="13">
        <v>0</v>
      </c>
      <c r="BO454" s="1">
        <v>22</v>
      </c>
    </row>
    <row r="455" spans="1:67" x14ac:dyDescent="0.25">
      <c r="A455" s="4">
        <v>44305</v>
      </c>
      <c r="AH455" s="13">
        <v>1</v>
      </c>
      <c r="BO455" s="1">
        <v>22</v>
      </c>
    </row>
    <row r="456" spans="1:67" x14ac:dyDescent="0.25">
      <c r="A456" s="4">
        <v>44306</v>
      </c>
      <c r="AH456" s="13">
        <v>2</v>
      </c>
      <c r="BO456" s="1">
        <v>22</v>
      </c>
    </row>
    <row r="457" spans="1:67" x14ac:dyDescent="0.25">
      <c r="A457" s="4">
        <v>44307</v>
      </c>
    </row>
    <row r="458" spans="1:67" x14ac:dyDescent="0.25">
      <c r="A458" s="4">
        <v>44308</v>
      </c>
    </row>
    <row r="459" spans="1:67" x14ac:dyDescent="0.25">
      <c r="A459" s="4">
        <v>44309</v>
      </c>
    </row>
    <row r="460" spans="1:67" x14ac:dyDescent="0.25">
      <c r="A460" s="4">
        <v>44310</v>
      </c>
    </row>
    <row r="461" spans="1:67" x14ac:dyDescent="0.25">
      <c r="A461" s="4">
        <v>44311</v>
      </c>
    </row>
    <row r="462" spans="1:67" x14ac:dyDescent="0.25">
      <c r="A462" s="4">
        <v>44312</v>
      </c>
    </row>
    <row r="463" spans="1:67" x14ac:dyDescent="0.25">
      <c r="A463" s="4">
        <v>44313</v>
      </c>
    </row>
    <row r="464" spans="1:67" x14ac:dyDescent="0.25">
      <c r="A464" s="4">
        <v>44314</v>
      </c>
    </row>
    <row r="465" spans="1:1" x14ac:dyDescent="0.25">
      <c r="A465" s="4">
        <v>44315</v>
      </c>
    </row>
    <row r="466" spans="1:1" x14ac:dyDescent="0.25">
      <c r="A466" s="4">
        <v>44316</v>
      </c>
    </row>
    <row r="467" spans="1:1" x14ac:dyDescent="0.25">
      <c r="A467" s="4">
        <v>44317</v>
      </c>
    </row>
    <row r="468" spans="1:1" x14ac:dyDescent="0.25">
      <c r="A468" s="4">
        <v>44318</v>
      </c>
    </row>
    <row r="469" spans="1:1" x14ac:dyDescent="0.25">
      <c r="A469" s="4">
        <v>44319</v>
      </c>
    </row>
    <row r="470" spans="1:1" x14ac:dyDescent="0.25">
      <c r="A470" s="4">
        <v>44320</v>
      </c>
    </row>
    <row r="471" spans="1:1" x14ac:dyDescent="0.25">
      <c r="A471" s="4">
        <v>44321</v>
      </c>
    </row>
    <row r="472" spans="1:1" x14ac:dyDescent="0.25">
      <c r="A472" s="4">
        <v>44322</v>
      </c>
    </row>
    <row r="473" spans="1:1" x14ac:dyDescent="0.25">
      <c r="A473" s="4">
        <v>44323</v>
      </c>
    </row>
    <row r="474" spans="1:1" x14ac:dyDescent="0.25">
      <c r="A474" s="4">
        <v>44324</v>
      </c>
    </row>
    <row r="475" spans="1:1" x14ac:dyDescent="0.25">
      <c r="A475" s="4">
        <v>44325</v>
      </c>
    </row>
    <row r="476" spans="1:1" x14ac:dyDescent="0.25">
      <c r="A476" s="4">
        <v>44326</v>
      </c>
    </row>
    <row r="477" spans="1:1" x14ac:dyDescent="0.25">
      <c r="A477" s="4">
        <v>44327</v>
      </c>
    </row>
    <row r="478" spans="1:1" x14ac:dyDescent="0.25">
      <c r="A478" s="4">
        <v>44328</v>
      </c>
    </row>
    <row r="479" spans="1:1" x14ac:dyDescent="0.25">
      <c r="A479" s="4">
        <v>44329</v>
      </c>
    </row>
    <row r="480" spans="1:1" x14ac:dyDescent="0.25">
      <c r="A480" s="4">
        <v>44330</v>
      </c>
    </row>
    <row r="481" spans="1:47" x14ac:dyDescent="0.25">
      <c r="A481" s="4">
        <v>44331</v>
      </c>
    </row>
    <row r="482" spans="1:47" x14ac:dyDescent="0.25">
      <c r="A482" s="4">
        <v>44332</v>
      </c>
    </row>
    <row r="483" spans="1:47" x14ac:dyDescent="0.25">
      <c r="A483" s="4">
        <v>44333</v>
      </c>
    </row>
    <row r="484" spans="1:47" x14ac:dyDescent="0.25">
      <c r="A484" s="4">
        <v>44334</v>
      </c>
    </row>
    <row r="485" spans="1:47" x14ac:dyDescent="0.25">
      <c r="A485" s="4">
        <v>44335</v>
      </c>
    </row>
    <row r="486" spans="1:47" x14ac:dyDescent="0.25">
      <c r="A486" s="4">
        <v>44336</v>
      </c>
    </row>
    <row r="487" spans="1:47" x14ac:dyDescent="0.25">
      <c r="A487" s="4">
        <v>44337</v>
      </c>
      <c r="J487" s="12">
        <v>1</v>
      </c>
      <c r="AU487" s="1">
        <v>32</v>
      </c>
    </row>
    <row r="488" spans="1:47" x14ac:dyDescent="0.25">
      <c r="A488" s="4">
        <v>44338</v>
      </c>
      <c r="J488" s="12">
        <v>1</v>
      </c>
      <c r="AU488" s="1">
        <v>32</v>
      </c>
    </row>
    <row r="489" spans="1:47" x14ac:dyDescent="0.25">
      <c r="A489" s="4">
        <v>44339</v>
      </c>
      <c r="J489" s="12">
        <v>3</v>
      </c>
      <c r="AU489" s="1">
        <v>32</v>
      </c>
    </row>
    <row r="490" spans="1:47" x14ac:dyDescent="0.25">
      <c r="A490" s="4">
        <v>44340</v>
      </c>
      <c r="J490" s="12">
        <v>1</v>
      </c>
      <c r="AU490" s="1">
        <v>32</v>
      </c>
    </row>
    <row r="491" spans="1:47" x14ac:dyDescent="0.25">
      <c r="A491" s="4">
        <v>44341</v>
      </c>
      <c r="J491" s="12">
        <v>4</v>
      </c>
      <c r="AU491" s="1">
        <v>32</v>
      </c>
    </row>
    <row r="492" spans="1:47" x14ac:dyDescent="0.25">
      <c r="A492" s="4">
        <v>44342</v>
      </c>
      <c r="J492" s="12">
        <v>6</v>
      </c>
      <c r="AU492" s="1">
        <v>32</v>
      </c>
    </row>
    <row r="493" spans="1:47" x14ac:dyDescent="0.25">
      <c r="A493" s="4">
        <v>44343</v>
      </c>
      <c r="J493" s="12">
        <v>5</v>
      </c>
      <c r="AU493" s="1">
        <v>32</v>
      </c>
    </row>
    <row r="494" spans="1:47" x14ac:dyDescent="0.25">
      <c r="A494" s="4">
        <v>44344</v>
      </c>
      <c r="J494" s="12">
        <v>9</v>
      </c>
      <c r="AU494" s="1">
        <v>32</v>
      </c>
    </row>
    <row r="495" spans="1:47" x14ac:dyDescent="0.25">
      <c r="A495" s="4">
        <v>44345</v>
      </c>
      <c r="J495" s="12">
        <v>13</v>
      </c>
      <c r="AU495" s="1">
        <v>32</v>
      </c>
    </row>
    <row r="496" spans="1:47" x14ac:dyDescent="0.25">
      <c r="A496" s="4">
        <v>44346</v>
      </c>
      <c r="J496" s="12">
        <v>7</v>
      </c>
      <c r="AU496" s="1">
        <v>32</v>
      </c>
    </row>
    <row r="497" spans="1:78" x14ac:dyDescent="0.25">
      <c r="A497" s="4">
        <v>44347</v>
      </c>
      <c r="J497" s="12">
        <v>12</v>
      </c>
      <c r="AU497" s="1">
        <v>32</v>
      </c>
    </row>
    <row r="498" spans="1:78" x14ac:dyDescent="0.25">
      <c r="A498" s="4">
        <v>44348</v>
      </c>
      <c r="J498" s="12">
        <v>14</v>
      </c>
      <c r="AU498" s="1">
        <v>32</v>
      </c>
    </row>
    <row r="499" spans="1:78" x14ac:dyDescent="0.25">
      <c r="A499" s="4">
        <v>44349</v>
      </c>
      <c r="J499" s="12">
        <v>16</v>
      </c>
      <c r="AU499" s="1">
        <v>32</v>
      </c>
      <c r="BZ499" s="1">
        <v>16</v>
      </c>
    </row>
    <row r="500" spans="1:78" x14ac:dyDescent="0.25">
      <c r="A500" s="4">
        <v>44350</v>
      </c>
      <c r="J500" s="12">
        <v>6</v>
      </c>
      <c r="AU500" s="1">
        <v>32</v>
      </c>
    </row>
    <row r="501" spans="1:78" x14ac:dyDescent="0.25">
      <c r="A501" s="4">
        <v>44351</v>
      </c>
      <c r="J501" s="12">
        <v>8</v>
      </c>
      <c r="AU501" s="1">
        <v>32</v>
      </c>
    </row>
    <row r="502" spans="1:78" x14ac:dyDescent="0.25">
      <c r="A502" s="4">
        <v>44352</v>
      </c>
      <c r="J502" s="12">
        <v>8</v>
      </c>
      <c r="AU502" s="1">
        <v>32</v>
      </c>
    </row>
    <row r="503" spans="1:78" x14ac:dyDescent="0.25">
      <c r="A503" s="4">
        <v>44353</v>
      </c>
      <c r="J503" s="12">
        <v>5</v>
      </c>
      <c r="AU503" s="1">
        <v>32</v>
      </c>
    </row>
    <row r="504" spans="1:78" x14ac:dyDescent="0.25">
      <c r="A504" s="4">
        <v>44354</v>
      </c>
      <c r="J504" s="12">
        <v>1</v>
      </c>
      <c r="AU504" s="1">
        <v>32</v>
      </c>
    </row>
    <row r="505" spans="1:78" x14ac:dyDescent="0.25">
      <c r="A505" s="4">
        <v>44355</v>
      </c>
      <c r="J505" s="12">
        <v>6</v>
      </c>
      <c r="AU505" s="1">
        <v>32</v>
      </c>
    </row>
    <row r="506" spans="1:78" x14ac:dyDescent="0.25">
      <c r="A506" s="4">
        <v>44356</v>
      </c>
      <c r="J506" s="12">
        <v>2</v>
      </c>
      <c r="AU506" s="1">
        <v>32</v>
      </c>
    </row>
    <row r="507" spans="1:78" x14ac:dyDescent="0.25">
      <c r="A507" s="4">
        <v>44357</v>
      </c>
      <c r="J507" s="12">
        <v>9</v>
      </c>
      <c r="AU507" s="1">
        <v>32</v>
      </c>
    </row>
    <row r="508" spans="1:78" x14ac:dyDescent="0.25">
      <c r="A508" s="4">
        <v>44358</v>
      </c>
      <c r="J508" s="12">
        <v>8</v>
      </c>
      <c r="AU508" s="1">
        <v>32</v>
      </c>
    </row>
    <row r="509" spans="1:78" x14ac:dyDescent="0.25">
      <c r="A509" s="4">
        <v>44359</v>
      </c>
      <c r="J509" s="12">
        <v>6</v>
      </c>
      <c r="AU509" s="1">
        <v>32</v>
      </c>
    </row>
    <row r="510" spans="1:78" x14ac:dyDescent="0.25">
      <c r="A510" s="4">
        <v>44360</v>
      </c>
      <c r="J510" s="12">
        <v>4</v>
      </c>
      <c r="AU510" s="1">
        <v>32</v>
      </c>
    </row>
    <row r="511" spans="1:78" x14ac:dyDescent="0.25">
      <c r="A511" s="4">
        <v>44361</v>
      </c>
      <c r="J511" s="12">
        <v>2</v>
      </c>
      <c r="AU511" s="1">
        <v>32</v>
      </c>
    </row>
    <row r="512" spans="1:78" x14ac:dyDescent="0.25">
      <c r="A512" s="4">
        <v>44362</v>
      </c>
      <c r="J512" s="12">
        <v>0</v>
      </c>
      <c r="AU512" s="1">
        <v>32</v>
      </c>
    </row>
    <row r="513" spans="1:47" x14ac:dyDescent="0.25">
      <c r="A513" s="4">
        <v>44363</v>
      </c>
      <c r="J513" s="12">
        <v>4</v>
      </c>
      <c r="AU513" s="1">
        <v>32</v>
      </c>
    </row>
    <row r="514" spans="1:47" x14ac:dyDescent="0.25">
      <c r="A514" s="4">
        <v>44364</v>
      </c>
      <c r="J514" s="12">
        <v>1</v>
      </c>
      <c r="AU514" s="1">
        <v>32</v>
      </c>
    </row>
    <row r="515" spans="1:47" x14ac:dyDescent="0.25">
      <c r="A515" s="4">
        <v>44365</v>
      </c>
      <c r="J515" s="12">
        <v>0</v>
      </c>
      <c r="AU515" s="1">
        <v>32</v>
      </c>
    </row>
    <row r="516" spans="1:47" x14ac:dyDescent="0.25">
      <c r="A516" s="4">
        <v>44366</v>
      </c>
      <c r="J516" s="12">
        <v>0</v>
      </c>
      <c r="AU516" s="1">
        <v>32</v>
      </c>
    </row>
    <row r="517" spans="1:47" x14ac:dyDescent="0.25">
      <c r="A517" s="4">
        <v>44367</v>
      </c>
      <c r="J517" s="12">
        <v>1</v>
      </c>
      <c r="AU517" s="1">
        <v>32</v>
      </c>
    </row>
    <row r="518" spans="1:47" x14ac:dyDescent="0.25">
      <c r="A518" s="4">
        <v>44368</v>
      </c>
      <c r="J518" s="12">
        <v>2</v>
      </c>
      <c r="AU518" s="1">
        <v>32</v>
      </c>
    </row>
    <row r="519" spans="1:47" x14ac:dyDescent="0.25">
      <c r="A519" s="4">
        <v>44369</v>
      </c>
    </row>
    <row r="520" spans="1:47" x14ac:dyDescent="0.25">
      <c r="A520" s="4">
        <v>44370</v>
      </c>
    </row>
    <row r="521" spans="1:47" x14ac:dyDescent="0.25">
      <c r="A521" s="4">
        <v>44371</v>
      </c>
    </row>
    <row r="522" spans="1:47" x14ac:dyDescent="0.25">
      <c r="A522" s="4">
        <v>44372</v>
      </c>
    </row>
    <row r="523" spans="1:47" x14ac:dyDescent="0.25">
      <c r="A523" s="4">
        <v>44373</v>
      </c>
    </row>
    <row r="524" spans="1:47" x14ac:dyDescent="0.25">
      <c r="A524" s="4">
        <v>44374</v>
      </c>
    </row>
    <row r="525" spans="1:47" x14ac:dyDescent="0.25">
      <c r="A525" s="4">
        <v>44375</v>
      </c>
    </row>
    <row r="526" spans="1:47" x14ac:dyDescent="0.25">
      <c r="A526" s="4">
        <v>44376</v>
      </c>
    </row>
    <row r="527" spans="1:47" x14ac:dyDescent="0.25">
      <c r="A527" s="4">
        <v>44377</v>
      </c>
    </row>
    <row r="528" spans="1:47" x14ac:dyDescent="0.25">
      <c r="A528" s="4">
        <v>44378</v>
      </c>
    </row>
    <row r="529" spans="1:98" x14ac:dyDescent="0.25">
      <c r="A529" s="4">
        <v>44379</v>
      </c>
    </row>
    <row r="530" spans="1:98" x14ac:dyDescent="0.25">
      <c r="A530" s="4">
        <v>44380</v>
      </c>
    </row>
    <row r="531" spans="1:98" x14ac:dyDescent="0.25">
      <c r="A531" s="4">
        <v>44381</v>
      </c>
      <c r="AH531" s="13">
        <v>3</v>
      </c>
      <c r="BO531" s="1">
        <v>41</v>
      </c>
    </row>
    <row r="532" spans="1:98" x14ac:dyDescent="0.25">
      <c r="A532" s="4">
        <v>44382</v>
      </c>
      <c r="AH532" s="13">
        <v>5</v>
      </c>
      <c r="BO532" s="1">
        <v>41</v>
      </c>
    </row>
    <row r="533" spans="1:98" x14ac:dyDescent="0.25">
      <c r="A533" s="4">
        <v>44383</v>
      </c>
      <c r="AH533" s="13">
        <v>15</v>
      </c>
      <c r="BO533" s="1">
        <v>41</v>
      </c>
      <c r="CT533" s="1">
        <v>15</v>
      </c>
    </row>
    <row r="534" spans="1:98" x14ac:dyDescent="0.25">
      <c r="A534" s="4">
        <v>44384</v>
      </c>
      <c r="AH534" s="13">
        <v>0</v>
      </c>
      <c r="BO534" s="1">
        <v>41</v>
      </c>
    </row>
    <row r="535" spans="1:98" x14ac:dyDescent="0.25">
      <c r="A535" s="4">
        <v>44385</v>
      </c>
      <c r="AH535" s="13">
        <v>8</v>
      </c>
      <c r="BO535" s="1">
        <v>41</v>
      </c>
    </row>
    <row r="536" spans="1:98" x14ac:dyDescent="0.25">
      <c r="A536" s="4">
        <v>44386</v>
      </c>
      <c r="AH536" s="13">
        <v>10</v>
      </c>
      <c r="BO536" s="1">
        <v>41</v>
      </c>
    </row>
    <row r="537" spans="1:98" x14ac:dyDescent="0.25">
      <c r="A537" s="4">
        <v>44387</v>
      </c>
      <c r="AH537" s="13">
        <v>12</v>
      </c>
      <c r="BO537" s="1">
        <v>41</v>
      </c>
    </row>
    <row r="538" spans="1:98" x14ac:dyDescent="0.25">
      <c r="A538" s="4">
        <v>44388</v>
      </c>
      <c r="AH538" s="13">
        <v>7</v>
      </c>
      <c r="BO538" s="1">
        <v>41</v>
      </c>
    </row>
    <row r="539" spans="1:98" x14ac:dyDescent="0.25">
      <c r="A539" s="4">
        <v>44389</v>
      </c>
      <c r="AH539" s="13">
        <v>1</v>
      </c>
      <c r="BO539" s="1">
        <v>41</v>
      </c>
    </row>
    <row r="540" spans="1:98" x14ac:dyDescent="0.25">
      <c r="A540" s="4">
        <v>44390</v>
      </c>
      <c r="AH540" s="1">
        <v>1</v>
      </c>
      <c r="BO540" s="1">
        <v>41</v>
      </c>
    </row>
    <row r="541" spans="1:98" x14ac:dyDescent="0.25">
      <c r="A541" s="4">
        <v>44391</v>
      </c>
      <c r="AH541" s="1">
        <v>5</v>
      </c>
      <c r="BO541" s="1">
        <v>41</v>
      </c>
    </row>
    <row r="542" spans="1:98" x14ac:dyDescent="0.25">
      <c r="A542" s="4">
        <v>44392</v>
      </c>
      <c r="AH542" s="1">
        <v>0</v>
      </c>
      <c r="BO542" s="1">
        <v>41</v>
      </c>
    </row>
    <row r="543" spans="1:98" x14ac:dyDescent="0.25">
      <c r="A543" s="4">
        <v>44393</v>
      </c>
      <c r="AH543" s="1">
        <v>2</v>
      </c>
      <c r="BO543" s="1">
        <v>41</v>
      </c>
    </row>
    <row r="544" spans="1:98" x14ac:dyDescent="0.25">
      <c r="A544" s="4">
        <v>44394</v>
      </c>
      <c r="AH544" s="1">
        <v>1</v>
      </c>
      <c r="BO544" s="1">
        <v>41</v>
      </c>
    </row>
    <row r="545" spans="1:83" x14ac:dyDescent="0.25">
      <c r="A545" s="4">
        <v>44395</v>
      </c>
      <c r="AH545" s="1">
        <v>5</v>
      </c>
      <c r="BO545" s="1">
        <v>41</v>
      </c>
    </row>
    <row r="546" spans="1:83" x14ac:dyDescent="0.25">
      <c r="A546" s="4">
        <v>44396</v>
      </c>
      <c r="AH546" s="1">
        <v>9</v>
      </c>
      <c r="BO546" s="1">
        <v>41</v>
      </c>
    </row>
    <row r="547" spans="1:83" x14ac:dyDescent="0.25">
      <c r="A547" s="4">
        <v>44397</v>
      </c>
      <c r="AH547" s="1">
        <v>2</v>
      </c>
      <c r="BO547" s="1">
        <v>41</v>
      </c>
    </row>
    <row r="548" spans="1:83" x14ac:dyDescent="0.25">
      <c r="A548" s="4">
        <v>44398</v>
      </c>
      <c r="B548" s="25">
        <v>13</v>
      </c>
      <c r="AH548" s="1">
        <v>1</v>
      </c>
      <c r="AN548" s="1">
        <v>37</v>
      </c>
      <c r="BO548" s="1">
        <v>41</v>
      </c>
    </row>
    <row r="549" spans="1:83" x14ac:dyDescent="0.25">
      <c r="A549" s="4">
        <v>44399</v>
      </c>
      <c r="B549" s="25">
        <v>12</v>
      </c>
      <c r="AH549" s="1">
        <v>0</v>
      </c>
      <c r="AN549" s="1">
        <v>37</v>
      </c>
      <c r="BO549" s="1">
        <v>41</v>
      </c>
    </row>
    <row r="550" spans="1:83" x14ac:dyDescent="0.25">
      <c r="A550" s="4">
        <v>44400</v>
      </c>
      <c r="B550" s="25">
        <v>12</v>
      </c>
      <c r="AH550" s="1">
        <v>0</v>
      </c>
      <c r="AN550" s="1">
        <v>37</v>
      </c>
      <c r="BO550" s="1">
        <v>41</v>
      </c>
    </row>
    <row r="551" spans="1:83" x14ac:dyDescent="0.25">
      <c r="A551" s="4">
        <v>44401</v>
      </c>
      <c r="B551" s="25">
        <v>2</v>
      </c>
      <c r="AH551" s="1">
        <v>1</v>
      </c>
      <c r="AN551" s="1">
        <v>37</v>
      </c>
      <c r="BO551" s="1">
        <v>41</v>
      </c>
    </row>
    <row r="552" spans="1:83" x14ac:dyDescent="0.25">
      <c r="A552" s="4">
        <v>44402</v>
      </c>
      <c r="B552" s="25">
        <v>39</v>
      </c>
      <c r="AH552" s="1">
        <v>0</v>
      </c>
      <c r="AN552" s="1">
        <v>37</v>
      </c>
      <c r="BO552" s="1">
        <v>41</v>
      </c>
    </row>
    <row r="553" spans="1:83" x14ac:dyDescent="0.25">
      <c r="A553" s="4">
        <v>44403</v>
      </c>
      <c r="B553" s="25">
        <v>34</v>
      </c>
      <c r="AH553" s="1">
        <v>0</v>
      </c>
      <c r="AN553" s="1">
        <v>37</v>
      </c>
      <c r="BO553" s="1">
        <v>41</v>
      </c>
    </row>
    <row r="554" spans="1:83" x14ac:dyDescent="0.25">
      <c r="A554" s="4">
        <v>44404</v>
      </c>
      <c r="B554" s="25">
        <v>48</v>
      </c>
      <c r="AH554" s="1">
        <v>2</v>
      </c>
      <c r="AN554" s="1">
        <v>37</v>
      </c>
      <c r="BO554" s="1">
        <v>41</v>
      </c>
    </row>
    <row r="555" spans="1:83" x14ac:dyDescent="0.25">
      <c r="A555" s="4">
        <v>44405</v>
      </c>
      <c r="B555" s="25">
        <v>20</v>
      </c>
      <c r="AH555" s="1">
        <v>0</v>
      </c>
      <c r="AN555" s="1">
        <v>37</v>
      </c>
      <c r="BO555" s="1">
        <v>41</v>
      </c>
    </row>
    <row r="556" spans="1:83" x14ac:dyDescent="0.25">
      <c r="A556" s="4">
        <v>44406</v>
      </c>
      <c r="B556" s="25">
        <v>18</v>
      </c>
      <c r="R556" s="5">
        <v>2</v>
      </c>
      <c r="AH556" s="1">
        <v>0</v>
      </c>
      <c r="AN556" s="1">
        <v>37</v>
      </c>
      <c r="BB556" s="1">
        <v>18</v>
      </c>
      <c r="BO556" s="1">
        <v>41</v>
      </c>
    </row>
    <row r="557" spans="1:83" x14ac:dyDescent="0.25">
      <c r="A557" s="4">
        <v>44407</v>
      </c>
      <c r="B557" s="25">
        <v>19</v>
      </c>
      <c r="R557" s="5">
        <v>6</v>
      </c>
      <c r="AH557" s="1">
        <v>0</v>
      </c>
      <c r="AN557" s="1">
        <v>37</v>
      </c>
      <c r="BB557" s="1">
        <v>18</v>
      </c>
      <c r="BO557" s="1">
        <v>41</v>
      </c>
    </row>
    <row r="558" spans="1:83" x14ac:dyDescent="0.25">
      <c r="A558" s="4">
        <v>44408</v>
      </c>
      <c r="B558" s="25">
        <v>30</v>
      </c>
      <c r="P558" s="5">
        <v>32</v>
      </c>
      <c r="R558" s="5">
        <v>4</v>
      </c>
      <c r="AH558" s="60">
        <v>3</v>
      </c>
      <c r="AJ558" s="13">
        <v>1</v>
      </c>
      <c r="AN558" s="1">
        <v>37</v>
      </c>
      <c r="AZ558" s="1">
        <v>15</v>
      </c>
      <c r="BB558" s="1">
        <v>18</v>
      </c>
      <c r="BO558" s="1">
        <v>41</v>
      </c>
      <c r="BQ558" s="1">
        <v>21</v>
      </c>
      <c r="CE558" s="1">
        <v>32</v>
      </c>
    </row>
    <row r="559" spans="1:83" x14ac:dyDescent="0.25">
      <c r="A559" s="4">
        <v>44409</v>
      </c>
      <c r="B559" s="25">
        <v>43</v>
      </c>
      <c r="P559" s="5">
        <v>29</v>
      </c>
      <c r="R559" s="5">
        <v>7</v>
      </c>
      <c r="AH559" s="60">
        <v>1</v>
      </c>
      <c r="AJ559" s="13">
        <v>2</v>
      </c>
      <c r="AN559" s="1">
        <v>37</v>
      </c>
      <c r="AZ559" s="1">
        <v>15</v>
      </c>
      <c r="BB559" s="1">
        <v>18</v>
      </c>
      <c r="BO559" s="1">
        <v>41</v>
      </c>
      <c r="BQ559" s="1">
        <v>21</v>
      </c>
    </row>
    <row r="560" spans="1:83" x14ac:dyDescent="0.25">
      <c r="A560" s="4">
        <v>44410</v>
      </c>
      <c r="B560" s="25">
        <v>47</v>
      </c>
      <c r="P560" s="5">
        <v>17</v>
      </c>
      <c r="R560" s="5">
        <v>6</v>
      </c>
      <c r="AH560" s="60">
        <v>2</v>
      </c>
      <c r="AJ560" s="13">
        <v>3</v>
      </c>
      <c r="AN560" s="1">
        <v>37</v>
      </c>
      <c r="AZ560" s="1">
        <v>15</v>
      </c>
      <c r="BB560" s="1">
        <v>18</v>
      </c>
      <c r="BO560" s="1">
        <v>41</v>
      </c>
      <c r="BQ560" s="1">
        <v>21</v>
      </c>
    </row>
    <row r="561" spans="1:100" x14ac:dyDescent="0.25">
      <c r="A561" s="4">
        <v>44411</v>
      </c>
      <c r="B561" s="25">
        <v>38</v>
      </c>
      <c r="P561" s="5">
        <v>11</v>
      </c>
      <c r="R561" s="5">
        <v>15</v>
      </c>
      <c r="AH561" s="60">
        <v>9</v>
      </c>
      <c r="AJ561" s="13">
        <v>9</v>
      </c>
      <c r="AN561" s="1">
        <v>37</v>
      </c>
      <c r="AZ561" s="1">
        <v>15</v>
      </c>
      <c r="BB561" s="1">
        <v>18</v>
      </c>
      <c r="BO561" s="1">
        <v>41</v>
      </c>
      <c r="BQ561" s="1">
        <v>21</v>
      </c>
      <c r="CG561" s="1">
        <v>15</v>
      </c>
    </row>
    <row r="562" spans="1:100" x14ac:dyDescent="0.25">
      <c r="A562" s="4">
        <v>44412</v>
      </c>
      <c r="B562" s="25">
        <v>40</v>
      </c>
      <c r="P562" s="5">
        <v>25</v>
      </c>
      <c r="R562" s="5">
        <v>9</v>
      </c>
      <c r="AH562" s="60">
        <v>12</v>
      </c>
      <c r="AJ562" s="13">
        <v>1</v>
      </c>
      <c r="AN562" s="1">
        <v>37</v>
      </c>
      <c r="AZ562" s="1">
        <v>15</v>
      </c>
      <c r="BB562" s="1">
        <v>18</v>
      </c>
      <c r="BO562" s="1">
        <v>41</v>
      </c>
      <c r="BQ562" s="1">
        <v>21</v>
      </c>
    </row>
    <row r="563" spans="1:100" x14ac:dyDescent="0.25">
      <c r="A563" s="4">
        <v>44413</v>
      </c>
      <c r="B563" s="25">
        <v>61</v>
      </c>
      <c r="P563" s="5">
        <v>9</v>
      </c>
      <c r="R563" s="5">
        <v>9</v>
      </c>
      <c r="AH563" s="60">
        <v>13</v>
      </c>
      <c r="AJ563" s="13">
        <v>6</v>
      </c>
      <c r="AN563" s="1">
        <v>37</v>
      </c>
      <c r="AZ563" s="1">
        <v>15</v>
      </c>
      <c r="BB563" s="1">
        <v>18</v>
      </c>
      <c r="BO563" s="1">
        <v>41</v>
      </c>
      <c r="BQ563" s="1">
        <v>21</v>
      </c>
      <c r="BS563" s="1">
        <v>61</v>
      </c>
    </row>
    <row r="564" spans="1:100" x14ac:dyDescent="0.25">
      <c r="A564" s="4">
        <v>44414</v>
      </c>
      <c r="B564" s="25">
        <v>54</v>
      </c>
      <c r="P564" s="5">
        <v>8</v>
      </c>
      <c r="R564" s="5">
        <v>9</v>
      </c>
      <c r="AH564" s="60">
        <v>0</v>
      </c>
      <c r="AJ564" s="13">
        <v>9</v>
      </c>
      <c r="AN564" s="1">
        <v>37</v>
      </c>
      <c r="AZ564" s="1">
        <v>15</v>
      </c>
      <c r="BB564" s="1">
        <v>18</v>
      </c>
      <c r="BO564" s="1">
        <v>41</v>
      </c>
      <c r="BQ564" s="1">
        <v>21</v>
      </c>
    </row>
    <row r="565" spans="1:100" x14ac:dyDescent="0.25">
      <c r="A565" s="4">
        <v>44415</v>
      </c>
      <c r="B565" s="25">
        <v>38</v>
      </c>
      <c r="P565" s="5">
        <v>5</v>
      </c>
      <c r="R565" s="5">
        <v>6</v>
      </c>
      <c r="AH565" s="60">
        <v>7</v>
      </c>
      <c r="AJ565" s="13">
        <v>6</v>
      </c>
      <c r="AN565" s="1">
        <v>37</v>
      </c>
      <c r="AZ565" s="1">
        <v>15</v>
      </c>
      <c r="BB565" s="1">
        <v>18</v>
      </c>
      <c r="BO565" s="1">
        <v>41</v>
      </c>
      <c r="BQ565" s="1">
        <v>21</v>
      </c>
    </row>
    <row r="566" spans="1:100" x14ac:dyDescent="0.25">
      <c r="A566" s="4">
        <v>44416</v>
      </c>
      <c r="B566" s="25">
        <v>38</v>
      </c>
      <c r="P566" s="5">
        <v>5</v>
      </c>
      <c r="R566" s="5">
        <v>12</v>
      </c>
      <c r="AH566" s="60">
        <v>0</v>
      </c>
      <c r="AJ566" s="13">
        <v>3</v>
      </c>
      <c r="AN566" s="1">
        <v>37</v>
      </c>
      <c r="AZ566" s="1">
        <v>15</v>
      </c>
      <c r="BB566" s="1">
        <v>18</v>
      </c>
      <c r="BO566" s="1">
        <v>41</v>
      </c>
      <c r="BQ566" s="1">
        <v>21</v>
      </c>
    </row>
    <row r="567" spans="1:100" x14ac:dyDescent="0.25">
      <c r="A567" s="4">
        <v>44417</v>
      </c>
      <c r="B567" s="25">
        <v>50</v>
      </c>
      <c r="P567" s="5">
        <v>2</v>
      </c>
      <c r="R567" s="5">
        <v>6</v>
      </c>
      <c r="AH567" s="60">
        <v>0</v>
      </c>
      <c r="AJ567" s="13">
        <v>15</v>
      </c>
      <c r="AN567" s="1">
        <v>37</v>
      </c>
      <c r="AZ567" s="1">
        <v>15</v>
      </c>
      <c r="BB567" s="1">
        <v>18</v>
      </c>
      <c r="BO567" s="1">
        <v>41</v>
      </c>
      <c r="BQ567" s="1">
        <v>21</v>
      </c>
      <c r="CV567" s="1">
        <v>15</v>
      </c>
    </row>
    <row r="568" spans="1:100" x14ac:dyDescent="0.25">
      <c r="A568" s="4">
        <v>44418</v>
      </c>
      <c r="B568" s="25">
        <v>54</v>
      </c>
      <c r="P568" s="5">
        <v>3</v>
      </c>
      <c r="R568" s="5">
        <v>5</v>
      </c>
      <c r="AH568" s="18">
        <v>2</v>
      </c>
      <c r="AJ568" s="13">
        <v>14</v>
      </c>
      <c r="AN568" s="1">
        <v>37</v>
      </c>
      <c r="AZ568" s="1">
        <v>15</v>
      </c>
      <c r="BB568" s="1">
        <v>18</v>
      </c>
      <c r="BO568" s="1">
        <v>41</v>
      </c>
      <c r="BQ568" s="1">
        <v>21</v>
      </c>
    </row>
    <row r="569" spans="1:100" x14ac:dyDescent="0.25">
      <c r="A569" s="4">
        <v>44419</v>
      </c>
      <c r="B569" s="25">
        <v>38</v>
      </c>
      <c r="P569" s="5">
        <v>3</v>
      </c>
      <c r="R569" s="5">
        <v>7</v>
      </c>
      <c r="AH569" s="18">
        <v>3</v>
      </c>
      <c r="AJ569" s="13">
        <v>10</v>
      </c>
      <c r="AN569" s="1">
        <v>37</v>
      </c>
      <c r="AZ569" s="1">
        <v>15</v>
      </c>
      <c r="BB569" s="1">
        <v>18</v>
      </c>
      <c r="BO569" s="1">
        <v>41</v>
      </c>
      <c r="BQ569" s="1">
        <v>21</v>
      </c>
    </row>
    <row r="570" spans="1:100" x14ac:dyDescent="0.25">
      <c r="A570" s="4">
        <v>44420</v>
      </c>
      <c r="B570" s="25">
        <v>26</v>
      </c>
      <c r="P570" s="5">
        <v>4</v>
      </c>
      <c r="R570" s="5">
        <v>2</v>
      </c>
      <c r="AH570" s="18">
        <v>1</v>
      </c>
      <c r="AJ570" s="13">
        <v>4</v>
      </c>
      <c r="AN570" s="1">
        <v>37</v>
      </c>
      <c r="AZ570" s="1">
        <v>15</v>
      </c>
      <c r="BB570" s="1">
        <v>18</v>
      </c>
      <c r="BO570" s="1">
        <v>41</v>
      </c>
      <c r="BQ570" s="1">
        <v>21</v>
      </c>
    </row>
    <row r="571" spans="1:100" x14ac:dyDescent="0.25">
      <c r="A571" s="4">
        <v>44421</v>
      </c>
      <c r="B571" s="25">
        <v>18</v>
      </c>
      <c r="P571" s="5">
        <v>2</v>
      </c>
      <c r="R571" s="5">
        <v>3</v>
      </c>
      <c r="AH571" s="18">
        <v>1</v>
      </c>
      <c r="AJ571" s="13">
        <v>4</v>
      </c>
      <c r="AN571" s="1">
        <v>37</v>
      </c>
      <c r="AZ571" s="1">
        <v>15</v>
      </c>
      <c r="BB571" s="1">
        <v>18</v>
      </c>
      <c r="BO571" s="1">
        <v>41</v>
      </c>
      <c r="BQ571" s="1">
        <v>21</v>
      </c>
    </row>
    <row r="572" spans="1:100" x14ac:dyDescent="0.25">
      <c r="A572" s="4">
        <v>44422</v>
      </c>
      <c r="B572" s="25">
        <v>18</v>
      </c>
      <c r="P572" s="5">
        <v>12</v>
      </c>
      <c r="R572" s="5">
        <v>1</v>
      </c>
      <c r="AJ572" s="13">
        <v>0</v>
      </c>
      <c r="AN572" s="1">
        <v>37</v>
      </c>
      <c r="AZ572" s="1">
        <v>15</v>
      </c>
      <c r="BB572" s="1">
        <v>18</v>
      </c>
      <c r="BQ572" s="1">
        <v>21</v>
      </c>
    </row>
    <row r="573" spans="1:100" x14ac:dyDescent="0.25">
      <c r="A573" s="4">
        <v>44423</v>
      </c>
      <c r="B573" s="25">
        <v>6</v>
      </c>
      <c r="R573" s="5">
        <v>1</v>
      </c>
      <c r="AJ573" s="13">
        <v>0</v>
      </c>
      <c r="AN573" s="1">
        <v>37</v>
      </c>
      <c r="BB573" s="1">
        <v>18</v>
      </c>
      <c r="BQ573" s="1">
        <v>21</v>
      </c>
    </row>
    <row r="574" spans="1:100" x14ac:dyDescent="0.25">
      <c r="A574" s="4">
        <v>44424</v>
      </c>
      <c r="B574" s="25">
        <v>3</v>
      </c>
      <c r="AJ574" s="13">
        <v>3</v>
      </c>
      <c r="AN574" s="1">
        <v>37</v>
      </c>
      <c r="BQ574" s="1">
        <v>21</v>
      </c>
    </row>
    <row r="575" spans="1:100" x14ac:dyDescent="0.25">
      <c r="A575" s="4">
        <v>44425</v>
      </c>
      <c r="B575" s="25">
        <v>6</v>
      </c>
      <c r="AJ575" s="13">
        <v>0</v>
      </c>
      <c r="AN575" s="1">
        <v>37</v>
      </c>
      <c r="BQ575" s="1">
        <v>21</v>
      </c>
    </row>
    <row r="576" spans="1:100" x14ac:dyDescent="0.25">
      <c r="A576" s="4">
        <v>44426</v>
      </c>
      <c r="B576" s="25">
        <v>3</v>
      </c>
      <c r="AJ576" s="13">
        <v>0</v>
      </c>
      <c r="AN576" s="1">
        <v>37</v>
      </c>
      <c r="BQ576" s="1">
        <v>21</v>
      </c>
    </row>
    <row r="577" spans="1:69" x14ac:dyDescent="0.25">
      <c r="A577" s="4">
        <v>44427</v>
      </c>
      <c r="B577" s="25">
        <v>3</v>
      </c>
      <c r="AJ577" s="13">
        <v>0</v>
      </c>
      <c r="AN577" s="1">
        <v>37</v>
      </c>
      <c r="BQ577" s="1">
        <v>21</v>
      </c>
    </row>
    <row r="578" spans="1:69" x14ac:dyDescent="0.25">
      <c r="A578" s="4">
        <v>44428</v>
      </c>
      <c r="B578" s="25">
        <v>1</v>
      </c>
      <c r="AJ578" s="13">
        <v>1</v>
      </c>
      <c r="AN578" s="1">
        <v>37</v>
      </c>
      <c r="BQ578" s="1">
        <v>21</v>
      </c>
    </row>
    <row r="579" spans="1:69" x14ac:dyDescent="0.25">
      <c r="A579" s="4">
        <v>44429</v>
      </c>
      <c r="B579" s="25">
        <v>1</v>
      </c>
      <c r="AN579" s="1">
        <v>37</v>
      </c>
    </row>
    <row r="580" spans="1:69" x14ac:dyDescent="0.25">
      <c r="A580" s="4">
        <v>44430</v>
      </c>
      <c r="B580" s="25">
        <v>0</v>
      </c>
      <c r="AN580" s="1">
        <v>37</v>
      </c>
    </row>
    <row r="581" spans="1:69" x14ac:dyDescent="0.25">
      <c r="A581" s="4">
        <v>44431</v>
      </c>
      <c r="B581" s="25">
        <v>0</v>
      </c>
      <c r="AN581" s="1">
        <v>37</v>
      </c>
    </row>
    <row r="582" spans="1:69" x14ac:dyDescent="0.25">
      <c r="A582" s="4">
        <v>44432</v>
      </c>
      <c r="B582" s="25">
        <v>1</v>
      </c>
      <c r="AN582" s="1">
        <v>37</v>
      </c>
    </row>
    <row r="583" spans="1:69" x14ac:dyDescent="0.25">
      <c r="A583" s="4">
        <v>44433</v>
      </c>
      <c r="B583" s="25">
        <v>0</v>
      </c>
      <c r="AN583" s="1">
        <v>37</v>
      </c>
    </row>
    <row r="584" spans="1:69" x14ac:dyDescent="0.25">
      <c r="A584" s="4">
        <v>44434</v>
      </c>
      <c r="B584" s="25">
        <v>1</v>
      </c>
      <c r="AN584" s="1">
        <v>37</v>
      </c>
    </row>
    <row r="585" spans="1:69" x14ac:dyDescent="0.25">
      <c r="A585" s="4">
        <v>44435</v>
      </c>
    </row>
    <row r="586" spans="1:69" x14ac:dyDescent="0.25">
      <c r="A586" s="4">
        <v>44436</v>
      </c>
    </row>
    <row r="587" spans="1:69" x14ac:dyDescent="0.25">
      <c r="A587" s="4">
        <v>44437</v>
      </c>
    </row>
    <row r="588" spans="1:69" x14ac:dyDescent="0.25">
      <c r="A588" s="4">
        <v>44438</v>
      </c>
    </row>
    <row r="589" spans="1:69" x14ac:dyDescent="0.25">
      <c r="A589" s="4">
        <v>44439</v>
      </c>
    </row>
    <row r="590" spans="1:69" x14ac:dyDescent="0.25">
      <c r="A590" s="4">
        <v>44440</v>
      </c>
    </row>
    <row r="591" spans="1:69" x14ac:dyDescent="0.25">
      <c r="A591" s="4">
        <v>44441</v>
      </c>
    </row>
    <row r="592" spans="1:69" x14ac:dyDescent="0.25">
      <c r="A592" s="4">
        <v>44442</v>
      </c>
    </row>
    <row r="593" spans="1:77" x14ac:dyDescent="0.25">
      <c r="A593" s="4">
        <v>44443</v>
      </c>
    </row>
    <row r="594" spans="1:77" x14ac:dyDescent="0.25">
      <c r="A594" s="4">
        <v>44444</v>
      </c>
    </row>
    <row r="595" spans="1:77" x14ac:dyDescent="0.25">
      <c r="A595" s="4">
        <v>44445</v>
      </c>
    </row>
    <row r="596" spans="1:77" x14ac:dyDescent="0.25">
      <c r="A596" s="4">
        <v>44446</v>
      </c>
    </row>
    <row r="597" spans="1:77" x14ac:dyDescent="0.25">
      <c r="A597" s="4">
        <v>44447</v>
      </c>
    </row>
    <row r="598" spans="1:77" x14ac:dyDescent="0.25">
      <c r="A598" s="4">
        <v>44448</v>
      </c>
    </row>
    <row r="599" spans="1:77" x14ac:dyDescent="0.25">
      <c r="A599" s="4">
        <v>44449</v>
      </c>
      <c r="I599" s="12">
        <v>3</v>
      </c>
      <c r="AT599" s="1">
        <v>20</v>
      </c>
    </row>
    <row r="600" spans="1:77" x14ac:dyDescent="0.25">
      <c r="A600" s="4">
        <v>44450</v>
      </c>
      <c r="I600" s="12">
        <v>21</v>
      </c>
      <c r="AT600" s="1">
        <v>20</v>
      </c>
    </row>
    <row r="601" spans="1:77" x14ac:dyDescent="0.25">
      <c r="A601" s="4">
        <v>44451</v>
      </c>
      <c r="I601" s="12">
        <v>22</v>
      </c>
      <c r="AT601" s="1">
        <v>20</v>
      </c>
    </row>
    <row r="602" spans="1:77" x14ac:dyDescent="0.25">
      <c r="A602" s="4">
        <v>44452</v>
      </c>
      <c r="I602" s="12">
        <v>60</v>
      </c>
      <c r="AT602" s="1">
        <v>20</v>
      </c>
    </row>
    <row r="603" spans="1:77" x14ac:dyDescent="0.25">
      <c r="A603" s="4">
        <v>44453</v>
      </c>
      <c r="I603" s="12">
        <v>51</v>
      </c>
      <c r="AT603" s="1">
        <v>20</v>
      </c>
    </row>
    <row r="604" spans="1:77" x14ac:dyDescent="0.25">
      <c r="A604" s="4">
        <v>44454</v>
      </c>
      <c r="I604" s="12">
        <v>48</v>
      </c>
      <c r="AT604" s="1">
        <v>20</v>
      </c>
    </row>
    <row r="605" spans="1:77" x14ac:dyDescent="0.25">
      <c r="A605" s="4">
        <v>44455</v>
      </c>
      <c r="I605" s="12">
        <v>61</v>
      </c>
      <c r="AT605" s="1">
        <v>20</v>
      </c>
      <c r="BY605" s="1">
        <v>61</v>
      </c>
    </row>
    <row r="606" spans="1:77" x14ac:dyDescent="0.25">
      <c r="A606" s="4">
        <v>44456</v>
      </c>
      <c r="I606" s="12">
        <v>31</v>
      </c>
      <c r="AT606" s="1">
        <v>20</v>
      </c>
    </row>
    <row r="607" spans="1:77" x14ac:dyDescent="0.25">
      <c r="A607" s="4">
        <v>44457</v>
      </c>
      <c r="I607" s="12">
        <v>43</v>
      </c>
      <c r="AT607" s="1">
        <v>20</v>
      </c>
    </row>
    <row r="608" spans="1:77" x14ac:dyDescent="0.25">
      <c r="A608" s="4">
        <v>44458</v>
      </c>
      <c r="I608" s="12">
        <v>29</v>
      </c>
      <c r="AT608" s="1">
        <v>20</v>
      </c>
    </row>
    <row r="609" spans="1:84" x14ac:dyDescent="0.25">
      <c r="A609" s="4">
        <v>44459</v>
      </c>
      <c r="I609" s="12">
        <v>44</v>
      </c>
      <c r="AT609" s="1">
        <v>20</v>
      </c>
    </row>
    <row r="610" spans="1:84" x14ac:dyDescent="0.25">
      <c r="A610" s="4">
        <v>44460</v>
      </c>
      <c r="I610" s="12">
        <v>15</v>
      </c>
      <c r="Q610" s="5">
        <v>3</v>
      </c>
      <c r="AT610" s="1">
        <v>20</v>
      </c>
      <c r="BA610" s="1">
        <v>13</v>
      </c>
    </row>
    <row r="611" spans="1:84" x14ac:dyDescent="0.25">
      <c r="A611" s="4">
        <v>44461</v>
      </c>
      <c r="I611" s="12">
        <v>20</v>
      </c>
      <c r="Q611" s="5">
        <v>8</v>
      </c>
      <c r="AT611" s="1">
        <v>20</v>
      </c>
      <c r="BA611" s="1">
        <v>13</v>
      </c>
    </row>
    <row r="612" spans="1:84" x14ac:dyDescent="0.25">
      <c r="A612" s="4">
        <v>44462</v>
      </c>
      <c r="I612" s="12">
        <v>16</v>
      </c>
      <c r="Q612" s="5">
        <v>15</v>
      </c>
      <c r="AT612" s="1">
        <v>20</v>
      </c>
      <c r="BA612" s="1">
        <v>13</v>
      </c>
      <c r="CF612" s="1">
        <v>15</v>
      </c>
    </row>
    <row r="613" spans="1:84" x14ac:dyDescent="0.25">
      <c r="A613" s="4">
        <v>44463</v>
      </c>
      <c r="I613" s="12">
        <v>3</v>
      </c>
      <c r="Q613" s="5">
        <v>8</v>
      </c>
      <c r="AT613" s="1">
        <v>20</v>
      </c>
      <c r="BA613" s="1">
        <v>13</v>
      </c>
    </row>
    <row r="614" spans="1:84" x14ac:dyDescent="0.25">
      <c r="A614" s="4">
        <v>44464</v>
      </c>
      <c r="I614" s="12">
        <v>5</v>
      </c>
      <c r="Q614" s="5">
        <v>4</v>
      </c>
      <c r="AT614" s="1">
        <v>20</v>
      </c>
      <c r="BA614" s="1">
        <v>13</v>
      </c>
    </row>
    <row r="615" spans="1:84" x14ac:dyDescent="0.25">
      <c r="A615" s="4">
        <v>44465</v>
      </c>
      <c r="I615" s="12">
        <v>2</v>
      </c>
      <c r="Q615" s="5">
        <v>11</v>
      </c>
      <c r="AT615" s="1">
        <v>20</v>
      </c>
      <c r="BA615" s="1">
        <v>13</v>
      </c>
    </row>
    <row r="616" spans="1:84" x14ac:dyDescent="0.25">
      <c r="A616" s="4">
        <v>44466</v>
      </c>
      <c r="I616" s="12">
        <v>2</v>
      </c>
      <c r="Q616" s="5">
        <v>11</v>
      </c>
      <c r="AT616" s="1">
        <v>20</v>
      </c>
      <c r="BA616" s="1">
        <v>13</v>
      </c>
    </row>
    <row r="617" spans="1:84" x14ac:dyDescent="0.25">
      <c r="A617" s="4">
        <v>44467</v>
      </c>
      <c r="I617" s="12">
        <v>5</v>
      </c>
      <c r="Q617" s="5">
        <v>8</v>
      </c>
      <c r="AT617" s="1">
        <v>20</v>
      </c>
      <c r="BA617" s="1">
        <v>13</v>
      </c>
    </row>
    <row r="618" spans="1:84" x14ac:dyDescent="0.25">
      <c r="A618" s="4">
        <v>44468</v>
      </c>
      <c r="I618" s="12">
        <v>1</v>
      </c>
      <c r="Q618" s="5">
        <v>6</v>
      </c>
      <c r="AT618" s="1">
        <v>20</v>
      </c>
      <c r="BA618" s="1">
        <v>13</v>
      </c>
    </row>
    <row r="619" spans="1:84" x14ac:dyDescent="0.25">
      <c r="A619" s="4">
        <v>44469</v>
      </c>
      <c r="Q619" s="5">
        <v>10</v>
      </c>
      <c r="BA619" s="1">
        <v>13</v>
      </c>
    </row>
    <row r="620" spans="1:84" x14ac:dyDescent="0.25">
      <c r="A620" s="4">
        <v>44470</v>
      </c>
      <c r="Q620" s="5">
        <v>2</v>
      </c>
      <c r="BA620" s="1">
        <v>13</v>
      </c>
    </row>
    <row r="621" spans="1:84" x14ac:dyDescent="0.25">
      <c r="A621" s="4">
        <v>44471</v>
      </c>
      <c r="Q621" s="5">
        <v>1</v>
      </c>
      <c r="BA621" s="1">
        <v>13</v>
      </c>
    </row>
    <row r="622" spans="1:84" x14ac:dyDescent="0.25">
      <c r="A622" s="4">
        <v>44472</v>
      </c>
      <c r="Q622" s="5">
        <v>1</v>
      </c>
      <c r="BA622" s="1">
        <v>13</v>
      </c>
    </row>
    <row r="623" spans="1:84" x14ac:dyDescent="0.25">
      <c r="A623" s="4">
        <v>44473</v>
      </c>
    </row>
    <row r="624" spans="1:84" x14ac:dyDescent="0.25">
      <c r="A624" s="4">
        <v>44474</v>
      </c>
    </row>
    <row r="625" spans="1:60" x14ac:dyDescent="0.25">
      <c r="A625" s="4">
        <v>44475</v>
      </c>
    </row>
    <row r="626" spans="1:60" x14ac:dyDescent="0.25">
      <c r="A626" s="4">
        <v>44476</v>
      </c>
    </row>
    <row r="627" spans="1:60" x14ac:dyDescent="0.25">
      <c r="A627" s="4">
        <v>44477</v>
      </c>
    </row>
    <row r="628" spans="1:60" x14ac:dyDescent="0.25">
      <c r="A628" s="4">
        <v>44478</v>
      </c>
    </row>
    <row r="629" spans="1:60" x14ac:dyDescent="0.25">
      <c r="A629" s="4">
        <v>44479</v>
      </c>
    </row>
    <row r="630" spans="1:60" x14ac:dyDescent="0.25">
      <c r="A630" s="4">
        <v>44480</v>
      </c>
    </row>
    <row r="631" spans="1:60" x14ac:dyDescent="0.25">
      <c r="A631" s="4">
        <v>44481</v>
      </c>
    </row>
    <row r="632" spans="1:60" x14ac:dyDescent="0.25">
      <c r="A632" s="4">
        <v>44482</v>
      </c>
      <c r="Z632" s="13">
        <v>1</v>
      </c>
      <c r="BH632" s="1">
        <v>31</v>
      </c>
    </row>
    <row r="633" spans="1:60" x14ac:dyDescent="0.25">
      <c r="A633" s="4">
        <v>44483</v>
      </c>
      <c r="Z633" s="13">
        <v>0</v>
      </c>
      <c r="BH633" s="1">
        <v>31</v>
      </c>
    </row>
    <row r="634" spans="1:60" x14ac:dyDescent="0.25">
      <c r="A634" s="4">
        <v>44484</v>
      </c>
      <c r="Z634" s="13">
        <v>0</v>
      </c>
      <c r="BH634" s="1">
        <v>31</v>
      </c>
    </row>
    <row r="635" spans="1:60" x14ac:dyDescent="0.25">
      <c r="A635" s="4">
        <v>44485</v>
      </c>
      <c r="Z635" s="13">
        <v>1</v>
      </c>
      <c r="BH635" s="1">
        <v>31</v>
      </c>
    </row>
    <row r="636" spans="1:60" x14ac:dyDescent="0.25">
      <c r="A636" s="4">
        <v>44486</v>
      </c>
      <c r="Z636" s="13">
        <v>0</v>
      </c>
      <c r="BH636" s="1">
        <v>31</v>
      </c>
    </row>
    <row r="637" spans="1:60" x14ac:dyDescent="0.25">
      <c r="A637" s="4">
        <v>44487</v>
      </c>
      <c r="N637" s="5">
        <v>1</v>
      </c>
      <c r="Z637" s="13">
        <v>7</v>
      </c>
      <c r="AX637" s="1">
        <v>22</v>
      </c>
      <c r="BH637" s="1">
        <v>31</v>
      </c>
    </row>
    <row r="638" spans="1:60" x14ac:dyDescent="0.25">
      <c r="A638" s="4">
        <v>44488</v>
      </c>
      <c r="N638" s="5">
        <v>4</v>
      </c>
      <c r="Z638" s="13">
        <v>3</v>
      </c>
      <c r="AX638" s="1">
        <v>22</v>
      </c>
      <c r="BH638" s="1">
        <v>31</v>
      </c>
    </row>
    <row r="639" spans="1:60" x14ac:dyDescent="0.25">
      <c r="A639" s="4">
        <v>44489</v>
      </c>
      <c r="N639" s="5">
        <v>5</v>
      </c>
      <c r="Z639" s="13">
        <v>3</v>
      </c>
      <c r="AX639" s="1">
        <v>22</v>
      </c>
      <c r="BH639" s="1">
        <v>31</v>
      </c>
    </row>
    <row r="640" spans="1:60" x14ac:dyDescent="0.25">
      <c r="A640" s="4">
        <v>44490</v>
      </c>
      <c r="N640" s="5">
        <v>9</v>
      </c>
      <c r="Z640" s="13">
        <v>15</v>
      </c>
      <c r="AX640" s="1">
        <v>22</v>
      </c>
      <c r="BH640" s="1">
        <v>31</v>
      </c>
    </row>
    <row r="641" spans="1:91" x14ac:dyDescent="0.25">
      <c r="A641" s="4">
        <v>44491</v>
      </c>
      <c r="N641" s="5">
        <v>17</v>
      </c>
      <c r="Z641" s="13">
        <v>9</v>
      </c>
      <c r="AX641" s="1">
        <v>22</v>
      </c>
      <c r="BH641" s="1">
        <v>31</v>
      </c>
      <c r="CC641" s="1">
        <v>17</v>
      </c>
    </row>
    <row r="642" spans="1:91" x14ac:dyDescent="0.25">
      <c r="A642" s="4">
        <v>44492</v>
      </c>
      <c r="N642" s="5">
        <v>6</v>
      </c>
      <c r="Z642" s="13">
        <v>10</v>
      </c>
      <c r="AX642" s="1">
        <v>22</v>
      </c>
      <c r="BH642" s="1">
        <v>31</v>
      </c>
    </row>
    <row r="643" spans="1:91" x14ac:dyDescent="0.25">
      <c r="A643" s="4">
        <v>44493</v>
      </c>
      <c r="N643" s="5">
        <v>4</v>
      </c>
      <c r="Z643" s="13">
        <v>13</v>
      </c>
      <c r="AX643" s="1">
        <v>22</v>
      </c>
      <c r="BH643" s="1">
        <v>31</v>
      </c>
    </row>
    <row r="644" spans="1:91" x14ac:dyDescent="0.25">
      <c r="A644" s="4">
        <v>44494</v>
      </c>
      <c r="N644" s="5">
        <v>6</v>
      </c>
      <c r="Z644" s="13">
        <v>36</v>
      </c>
      <c r="AX644" s="1">
        <v>22</v>
      </c>
      <c r="BH644" s="1">
        <v>31</v>
      </c>
      <c r="CM644" s="1">
        <v>36</v>
      </c>
    </row>
    <row r="645" spans="1:91" x14ac:dyDescent="0.25">
      <c r="A645" s="4">
        <v>44495</v>
      </c>
      <c r="N645" s="5">
        <v>4</v>
      </c>
      <c r="Z645" s="13">
        <v>12</v>
      </c>
      <c r="AX645" s="1">
        <v>22</v>
      </c>
      <c r="BH645" s="1">
        <v>31</v>
      </c>
    </row>
    <row r="646" spans="1:91" x14ac:dyDescent="0.25">
      <c r="A646" s="4">
        <v>44496</v>
      </c>
      <c r="N646" s="5">
        <v>8</v>
      </c>
      <c r="Q646" s="5">
        <v>1</v>
      </c>
      <c r="Z646" s="13">
        <v>7</v>
      </c>
      <c r="AX646" s="1">
        <v>22</v>
      </c>
      <c r="BA646" s="1">
        <v>20</v>
      </c>
      <c r="BH646" s="1">
        <v>31</v>
      </c>
    </row>
    <row r="647" spans="1:91" x14ac:dyDescent="0.25">
      <c r="A647" s="4">
        <v>44497</v>
      </c>
      <c r="N647" s="5">
        <v>12</v>
      </c>
      <c r="Q647" s="5">
        <v>9</v>
      </c>
      <c r="Z647" s="13">
        <v>19</v>
      </c>
      <c r="AX647" s="1">
        <v>22</v>
      </c>
      <c r="BA647" s="1">
        <v>20</v>
      </c>
      <c r="BH647" s="1">
        <v>31</v>
      </c>
    </row>
    <row r="648" spans="1:91" x14ac:dyDescent="0.25">
      <c r="A648" s="4">
        <v>44498</v>
      </c>
      <c r="N648" s="5">
        <v>11</v>
      </c>
      <c r="Q648" s="5">
        <v>26</v>
      </c>
      <c r="Z648" s="13">
        <v>19</v>
      </c>
      <c r="AX648" s="1">
        <v>22</v>
      </c>
      <c r="BA648" s="1">
        <v>20</v>
      </c>
      <c r="BH648" s="1">
        <v>31</v>
      </c>
    </row>
    <row r="649" spans="1:91" x14ac:dyDescent="0.25">
      <c r="A649" s="4">
        <v>44499</v>
      </c>
      <c r="N649" s="5">
        <v>9</v>
      </c>
      <c r="Q649" s="5">
        <v>19</v>
      </c>
      <c r="Z649" s="13">
        <v>10</v>
      </c>
      <c r="AX649" s="1">
        <v>22</v>
      </c>
      <c r="BA649" s="1">
        <v>20</v>
      </c>
      <c r="BH649" s="1">
        <v>31</v>
      </c>
    </row>
    <row r="650" spans="1:91" x14ac:dyDescent="0.25">
      <c r="A650" s="4">
        <v>44500</v>
      </c>
      <c r="N650" s="5">
        <v>10</v>
      </c>
      <c r="Q650" s="5">
        <v>27</v>
      </c>
      <c r="T650" s="14">
        <v>8</v>
      </c>
      <c r="Z650" s="13">
        <v>6</v>
      </c>
      <c r="AX650" s="1">
        <v>22</v>
      </c>
      <c r="BA650" s="1">
        <v>20</v>
      </c>
      <c r="BC650" s="1">
        <v>15</v>
      </c>
      <c r="BH650" s="1">
        <v>31</v>
      </c>
    </row>
    <row r="651" spans="1:91" x14ac:dyDescent="0.25">
      <c r="A651" s="4">
        <v>44501</v>
      </c>
      <c r="N651" s="5">
        <v>8</v>
      </c>
      <c r="Q651" s="5">
        <v>27</v>
      </c>
      <c r="T651" s="14">
        <v>8</v>
      </c>
      <c r="Z651" s="13">
        <v>2</v>
      </c>
      <c r="AX651" s="1">
        <v>22</v>
      </c>
      <c r="BA651" s="1">
        <v>20</v>
      </c>
      <c r="BC651" s="1">
        <v>15</v>
      </c>
      <c r="BH651" s="1">
        <v>31</v>
      </c>
    </row>
    <row r="652" spans="1:91" x14ac:dyDescent="0.25">
      <c r="A652" s="4">
        <v>44502</v>
      </c>
      <c r="N652" s="5">
        <v>14</v>
      </c>
      <c r="P652" s="5">
        <v>3</v>
      </c>
      <c r="Q652" s="5">
        <v>35</v>
      </c>
      <c r="T652" s="14">
        <v>14</v>
      </c>
      <c r="Z652" s="13">
        <v>6</v>
      </c>
      <c r="AX652" s="1">
        <v>22</v>
      </c>
      <c r="AZ652" s="1">
        <v>13</v>
      </c>
      <c r="BA652" s="1">
        <v>20</v>
      </c>
      <c r="BC652" s="1">
        <v>15</v>
      </c>
      <c r="BH652" s="1">
        <v>31</v>
      </c>
      <c r="CF652" s="1">
        <v>35</v>
      </c>
    </row>
    <row r="653" spans="1:91" x14ac:dyDescent="0.25">
      <c r="A653" s="4">
        <v>44503</v>
      </c>
      <c r="N653" s="5">
        <v>2</v>
      </c>
      <c r="P653" s="5">
        <v>9</v>
      </c>
      <c r="Q653" s="5">
        <v>45</v>
      </c>
      <c r="T653" s="14">
        <v>23</v>
      </c>
      <c r="Z653" s="13">
        <v>2</v>
      </c>
      <c r="AX653" s="1">
        <v>22</v>
      </c>
      <c r="AZ653" s="1">
        <v>13</v>
      </c>
      <c r="BA653" s="1">
        <v>20</v>
      </c>
      <c r="BC653" s="1">
        <v>15</v>
      </c>
      <c r="BH653" s="1">
        <v>31</v>
      </c>
      <c r="CH653" s="1">
        <v>23</v>
      </c>
    </row>
    <row r="654" spans="1:91" x14ac:dyDescent="0.25">
      <c r="A654" s="4">
        <v>44504</v>
      </c>
      <c r="N654" s="5">
        <v>5</v>
      </c>
      <c r="P654" s="5">
        <v>10</v>
      </c>
      <c r="Q654" s="5">
        <v>28</v>
      </c>
      <c r="T654" s="14">
        <v>10</v>
      </c>
      <c r="W654" s="14">
        <v>8</v>
      </c>
      <c r="Z654" s="13">
        <v>2</v>
      </c>
      <c r="AX654" s="1">
        <v>22</v>
      </c>
      <c r="AZ654" s="1">
        <v>13</v>
      </c>
      <c r="BA654" s="1">
        <v>20</v>
      </c>
      <c r="BC654" s="1">
        <v>15</v>
      </c>
      <c r="BF654" s="1">
        <v>24</v>
      </c>
      <c r="BH654" s="1">
        <v>31</v>
      </c>
    </row>
    <row r="655" spans="1:91" x14ac:dyDescent="0.25">
      <c r="A655" s="4">
        <v>44505</v>
      </c>
      <c r="N655" s="5">
        <v>2</v>
      </c>
      <c r="P655" s="5">
        <v>7</v>
      </c>
      <c r="Q655" s="5">
        <v>16</v>
      </c>
      <c r="T655" s="14">
        <v>14</v>
      </c>
      <c r="W655" s="14">
        <v>5</v>
      </c>
      <c r="Z655" s="13">
        <v>1</v>
      </c>
      <c r="AX655" s="1">
        <v>22</v>
      </c>
      <c r="AZ655" s="1">
        <v>13</v>
      </c>
      <c r="BA655" s="1">
        <v>20</v>
      </c>
      <c r="BC655" s="1">
        <v>15</v>
      </c>
      <c r="BF655" s="1">
        <v>24</v>
      </c>
      <c r="BH655" s="1">
        <v>31</v>
      </c>
    </row>
    <row r="656" spans="1:91" x14ac:dyDescent="0.25">
      <c r="A656" s="4">
        <v>44506</v>
      </c>
      <c r="N656" s="5">
        <v>2</v>
      </c>
      <c r="P656" s="5">
        <v>4</v>
      </c>
      <c r="Q656" s="5">
        <v>6</v>
      </c>
      <c r="T656" s="14">
        <v>16</v>
      </c>
      <c r="W656" s="14">
        <v>17</v>
      </c>
      <c r="Z656" s="13">
        <v>0</v>
      </c>
      <c r="AX656" s="1">
        <v>22</v>
      </c>
      <c r="AZ656" s="1">
        <v>13</v>
      </c>
      <c r="BA656" s="1">
        <v>20</v>
      </c>
      <c r="BC656" s="1">
        <v>15</v>
      </c>
      <c r="BF656" s="1">
        <v>24</v>
      </c>
      <c r="BH656" s="1">
        <v>31</v>
      </c>
    </row>
    <row r="657" spans="1:89" x14ac:dyDescent="0.25">
      <c r="A657" s="4">
        <v>44507</v>
      </c>
      <c r="N657" s="5">
        <v>2</v>
      </c>
      <c r="P657" s="5">
        <v>12</v>
      </c>
      <c r="Q657" s="5">
        <v>6</v>
      </c>
      <c r="T657" s="14">
        <v>8</v>
      </c>
      <c r="W657" s="14">
        <v>32</v>
      </c>
      <c r="Z657" s="13">
        <v>1</v>
      </c>
      <c r="AX657" s="1">
        <v>22</v>
      </c>
      <c r="AZ657" s="1">
        <v>13</v>
      </c>
      <c r="BA657" s="1">
        <v>20</v>
      </c>
      <c r="BC657" s="1">
        <v>15</v>
      </c>
      <c r="BF657" s="1">
        <v>24</v>
      </c>
      <c r="BH657" s="1">
        <v>31</v>
      </c>
    </row>
    <row r="658" spans="1:89" x14ac:dyDescent="0.25">
      <c r="A658" s="4">
        <v>44508</v>
      </c>
      <c r="N658" s="5">
        <v>4</v>
      </c>
      <c r="P658" s="5">
        <v>8</v>
      </c>
      <c r="Q658" s="5">
        <v>8</v>
      </c>
      <c r="T658" s="14">
        <v>12</v>
      </c>
      <c r="W658" s="14">
        <v>32</v>
      </c>
      <c r="Z658" s="13">
        <v>0</v>
      </c>
      <c r="AX658" s="1">
        <v>22</v>
      </c>
      <c r="AZ658" s="1">
        <v>13</v>
      </c>
      <c r="BA658" s="1">
        <v>20</v>
      </c>
      <c r="BC658" s="1">
        <v>15</v>
      </c>
      <c r="BF658" s="1">
        <v>24</v>
      </c>
      <c r="BH658" s="1">
        <v>31</v>
      </c>
    </row>
    <row r="659" spans="1:89" x14ac:dyDescent="0.25">
      <c r="A659" s="4">
        <v>44509</v>
      </c>
      <c r="P659" s="5">
        <v>7</v>
      </c>
      <c r="Q659" s="5">
        <v>4</v>
      </c>
      <c r="T659" s="14">
        <v>5</v>
      </c>
      <c r="W659" s="14">
        <v>32</v>
      </c>
      <c r="Z659" s="13">
        <v>1</v>
      </c>
      <c r="AZ659" s="1">
        <v>13</v>
      </c>
      <c r="BA659" s="1">
        <v>20</v>
      </c>
      <c r="BC659" s="1">
        <v>15</v>
      </c>
      <c r="BF659" s="1">
        <v>24</v>
      </c>
      <c r="BH659" s="1">
        <v>31</v>
      </c>
    </row>
    <row r="660" spans="1:89" x14ac:dyDescent="0.25">
      <c r="A660" s="4">
        <v>44510</v>
      </c>
      <c r="P660" s="5">
        <v>14</v>
      </c>
      <c r="Q660" s="5">
        <v>7</v>
      </c>
      <c r="T660" s="14">
        <v>3</v>
      </c>
      <c r="W660" s="14">
        <v>21</v>
      </c>
      <c r="Z660" s="13">
        <v>0</v>
      </c>
      <c r="AZ660" s="1">
        <v>13</v>
      </c>
      <c r="BA660" s="1">
        <v>20</v>
      </c>
      <c r="BC660" s="1">
        <v>15</v>
      </c>
      <c r="BF660" s="1">
        <v>24</v>
      </c>
      <c r="BH660" s="1">
        <v>31</v>
      </c>
      <c r="CE660" s="1">
        <v>14</v>
      </c>
    </row>
    <row r="661" spans="1:89" x14ac:dyDescent="0.25">
      <c r="A661" s="4">
        <v>44511</v>
      </c>
      <c r="P661" s="5">
        <v>8</v>
      </c>
      <c r="Q661" s="5">
        <v>7</v>
      </c>
      <c r="T661" s="14">
        <v>2</v>
      </c>
      <c r="W661" s="14">
        <v>52</v>
      </c>
      <c r="Z661" s="13">
        <v>2</v>
      </c>
      <c r="AZ661" s="1">
        <v>13</v>
      </c>
      <c r="BA661" s="1">
        <v>20</v>
      </c>
      <c r="BC661" s="1">
        <v>15</v>
      </c>
      <c r="BF661" s="1">
        <v>24</v>
      </c>
      <c r="BH661" s="1">
        <v>31</v>
      </c>
    </row>
    <row r="662" spans="1:89" x14ac:dyDescent="0.25">
      <c r="A662" s="4">
        <v>44512</v>
      </c>
      <c r="P662" s="5">
        <v>2</v>
      </c>
      <c r="Q662" s="5">
        <v>2</v>
      </c>
      <c r="T662" s="14">
        <v>4</v>
      </c>
      <c r="W662" s="14">
        <v>14</v>
      </c>
      <c r="Z662" s="13">
        <v>1</v>
      </c>
      <c r="AZ662" s="1">
        <v>13</v>
      </c>
      <c r="BA662" s="1">
        <v>20</v>
      </c>
      <c r="BC662" s="1">
        <v>15</v>
      </c>
      <c r="BF662" s="1">
        <v>24</v>
      </c>
      <c r="BH662" s="1">
        <v>31</v>
      </c>
    </row>
    <row r="663" spans="1:89" x14ac:dyDescent="0.25">
      <c r="A663" s="4">
        <v>44513</v>
      </c>
      <c r="P663" s="5">
        <v>0</v>
      </c>
      <c r="Q663" s="5">
        <v>2</v>
      </c>
      <c r="T663" s="14">
        <v>3</v>
      </c>
      <c r="W663" s="14">
        <v>60</v>
      </c>
      <c r="AZ663" s="1">
        <v>13</v>
      </c>
      <c r="BA663" s="1">
        <v>20</v>
      </c>
      <c r="BC663" s="1">
        <v>15</v>
      </c>
      <c r="BF663" s="1">
        <v>24</v>
      </c>
      <c r="CK663" s="1">
        <v>60</v>
      </c>
    </row>
    <row r="664" spans="1:89" x14ac:dyDescent="0.25">
      <c r="A664" s="4">
        <v>44514</v>
      </c>
      <c r="P664" s="1">
        <v>1</v>
      </c>
      <c r="Q664" s="5">
        <v>2</v>
      </c>
      <c r="T664" s="14">
        <v>1</v>
      </c>
      <c r="W664" s="14">
        <v>15</v>
      </c>
      <c r="AZ664" s="1">
        <v>13</v>
      </c>
      <c r="BA664" s="1">
        <v>20</v>
      </c>
      <c r="BC664" s="1">
        <v>15</v>
      </c>
      <c r="BF664" s="1">
        <v>24</v>
      </c>
    </row>
    <row r="665" spans="1:89" x14ac:dyDescent="0.25">
      <c r="A665" s="4">
        <v>44515</v>
      </c>
      <c r="Q665" s="5">
        <v>2</v>
      </c>
      <c r="W665" s="14">
        <v>4</v>
      </c>
      <c r="BA665" s="1">
        <v>20</v>
      </c>
      <c r="BF665" s="1">
        <v>24</v>
      </c>
    </row>
    <row r="666" spans="1:89" x14ac:dyDescent="0.25">
      <c r="A666" s="4">
        <v>44516</v>
      </c>
      <c r="W666" s="14">
        <v>6</v>
      </c>
      <c r="BF666" s="1">
        <v>24</v>
      </c>
    </row>
    <row r="667" spans="1:89" x14ac:dyDescent="0.25">
      <c r="A667" s="4">
        <v>44517</v>
      </c>
      <c r="W667" s="14">
        <v>4</v>
      </c>
      <c r="BF667" s="1">
        <v>24</v>
      </c>
    </row>
    <row r="668" spans="1:89" x14ac:dyDescent="0.25">
      <c r="A668" s="4">
        <v>44518</v>
      </c>
      <c r="W668" s="14">
        <v>7</v>
      </c>
      <c r="BF668" s="1">
        <v>24</v>
      </c>
    </row>
    <row r="669" spans="1:89" x14ac:dyDescent="0.25">
      <c r="A669" s="4">
        <v>44519</v>
      </c>
      <c r="W669" s="14">
        <v>2</v>
      </c>
      <c r="BF669" s="1">
        <v>24</v>
      </c>
    </row>
    <row r="670" spans="1:89" x14ac:dyDescent="0.25">
      <c r="A670" s="4">
        <v>44520</v>
      </c>
      <c r="W670" s="14">
        <v>3</v>
      </c>
      <c r="BF670" s="1">
        <v>24</v>
      </c>
    </row>
    <row r="671" spans="1:89" x14ac:dyDescent="0.25">
      <c r="A671" s="4">
        <v>44521</v>
      </c>
      <c r="W671" s="14">
        <v>5</v>
      </c>
      <c r="BF671" s="1">
        <v>24</v>
      </c>
    </row>
    <row r="672" spans="1:89" x14ac:dyDescent="0.25">
      <c r="A672" s="4">
        <v>44522</v>
      </c>
      <c r="W672" s="14">
        <v>4</v>
      </c>
      <c r="BF672" s="1">
        <v>24</v>
      </c>
    </row>
    <row r="673" spans="1:91" x14ac:dyDescent="0.25">
      <c r="A673" s="4">
        <v>44523</v>
      </c>
      <c r="W673" s="14">
        <v>2</v>
      </c>
      <c r="BF673" s="1">
        <v>24</v>
      </c>
    </row>
    <row r="674" spans="1:91" x14ac:dyDescent="0.25">
      <c r="A674" s="4">
        <v>44524</v>
      </c>
      <c r="W674" s="14">
        <v>0</v>
      </c>
      <c r="BF674" s="1">
        <v>24</v>
      </c>
    </row>
    <row r="675" spans="1:91" x14ac:dyDescent="0.25">
      <c r="A675" s="4">
        <v>44525</v>
      </c>
      <c r="W675" s="14">
        <v>1</v>
      </c>
      <c r="BF675" s="1">
        <v>24</v>
      </c>
    </row>
    <row r="676" spans="1:91" x14ac:dyDescent="0.25">
      <c r="A676" s="4">
        <v>44526</v>
      </c>
      <c r="W676" s="14">
        <v>3</v>
      </c>
      <c r="BF676" s="1">
        <v>24</v>
      </c>
    </row>
    <row r="677" spans="1:91" x14ac:dyDescent="0.25">
      <c r="A677" s="4">
        <v>44527</v>
      </c>
      <c r="W677" s="14">
        <v>1</v>
      </c>
      <c r="Z677" s="13">
        <v>3</v>
      </c>
      <c r="BF677" s="1">
        <v>24</v>
      </c>
      <c r="BH677" s="1">
        <v>21</v>
      </c>
    </row>
    <row r="678" spans="1:91" x14ac:dyDescent="0.25">
      <c r="A678" s="4">
        <v>44528</v>
      </c>
      <c r="Z678" s="13">
        <v>19</v>
      </c>
      <c r="BH678" s="1">
        <v>21</v>
      </c>
    </row>
    <row r="679" spans="1:91" x14ac:dyDescent="0.25">
      <c r="A679" s="4">
        <v>44529</v>
      </c>
      <c r="Z679" s="13">
        <v>19</v>
      </c>
      <c r="BH679" s="1">
        <v>21</v>
      </c>
    </row>
    <row r="680" spans="1:91" x14ac:dyDescent="0.25">
      <c r="A680" s="4">
        <v>44530</v>
      </c>
      <c r="Z680" s="13">
        <v>93</v>
      </c>
      <c r="BH680" s="1">
        <v>21</v>
      </c>
      <c r="CM680" s="1">
        <v>93</v>
      </c>
    </row>
    <row r="681" spans="1:91" x14ac:dyDescent="0.25">
      <c r="A681" s="4">
        <v>44531</v>
      </c>
      <c r="Z681" s="13">
        <v>54</v>
      </c>
      <c r="BH681" s="1">
        <v>21</v>
      </c>
    </row>
    <row r="682" spans="1:91" x14ac:dyDescent="0.25">
      <c r="A682" s="4">
        <v>44532</v>
      </c>
      <c r="Z682" s="13">
        <v>56</v>
      </c>
      <c r="BH682" s="1">
        <v>21</v>
      </c>
    </row>
    <row r="683" spans="1:91" x14ac:dyDescent="0.25">
      <c r="A683" s="4">
        <v>44533</v>
      </c>
      <c r="Z683" s="13">
        <v>58</v>
      </c>
      <c r="BH683" s="1">
        <v>21</v>
      </c>
    </row>
    <row r="684" spans="1:91" x14ac:dyDescent="0.25">
      <c r="A684" s="4">
        <v>44534</v>
      </c>
      <c r="Z684" s="13">
        <v>34</v>
      </c>
      <c r="BH684" s="1">
        <v>21</v>
      </c>
    </row>
    <row r="685" spans="1:91" x14ac:dyDescent="0.25">
      <c r="A685" s="4">
        <v>44535</v>
      </c>
      <c r="Z685" s="13">
        <v>26</v>
      </c>
      <c r="BH685" s="1">
        <v>21</v>
      </c>
    </row>
    <row r="686" spans="1:91" x14ac:dyDescent="0.25">
      <c r="A686" s="4">
        <v>44536</v>
      </c>
      <c r="Z686" s="13">
        <v>54</v>
      </c>
      <c r="AI686" s="13">
        <v>1</v>
      </c>
      <c r="BH686" s="1">
        <v>21</v>
      </c>
      <c r="BP686" s="1">
        <v>41</v>
      </c>
    </row>
    <row r="687" spans="1:91" x14ac:dyDescent="0.25">
      <c r="A687" s="4">
        <v>44537</v>
      </c>
      <c r="Z687" s="13">
        <v>33</v>
      </c>
      <c r="AI687" s="13">
        <v>8</v>
      </c>
      <c r="BH687" s="1">
        <v>21</v>
      </c>
      <c r="BP687" s="1">
        <v>41</v>
      </c>
    </row>
    <row r="688" spans="1:91" x14ac:dyDescent="0.25">
      <c r="A688" s="4">
        <v>44538</v>
      </c>
      <c r="Z688" s="13">
        <v>42</v>
      </c>
      <c r="AI688" s="13">
        <v>12</v>
      </c>
      <c r="BH688" s="1">
        <v>21</v>
      </c>
      <c r="BP688" s="1">
        <v>41</v>
      </c>
    </row>
    <row r="689" spans="1:99" x14ac:dyDescent="0.25">
      <c r="A689" s="4">
        <v>44539</v>
      </c>
      <c r="Z689" s="13">
        <v>24</v>
      </c>
      <c r="AD689" s="13">
        <v>1</v>
      </c>
      <c r="AI689" s="13">
        <v>6</v>
      </c>
      <c r="BH689" s="1">
        <v>21</v>
      </c>
      <c r="BL689" s="1">
        <v>43</v>
      </c>
      <c r="BP689" s="1">
        <v>41</v>
      </c>
    </row>
    <row r="690" spans="1:99" x14ac:dyDescent="0.25">
      <c r="A690" s="4">
        <v>44540</v>
      </c>
      <c r="Z690" s="13">
        <v>15</v>
      </c>
      <c r="AD690" s="13">
        <v>0</v>
      </c>
      <c r="AI690" s="13">
        <v>35</v>
      </c>
      <c r="BH690" s="1">
        <v>21</v>
      </c>
      <c r="BL690" s="1">
        <v>43</v>
      </c>
      <c r="BP690" s="1">
        <v>41</v>
      </c>
    </row>
    <row r="691" spans="1:99" x14ac:dyDescent="0.25">
      <c r="A691" s="4">
        <v>44541</v>
      </c>
      <c r="Z691" s="13">
        <v>10</v>
      </c>
      <c r="AD691" s="13">
        <v>1</v>
      </c>
      <c r="AI691" s="13">
        <v>38</v>
      </c>
      <c r="BH691" s="1">
        <v>21</v>
      </c>
      <c r="BL691" s="1">
        <v>43</v>
      </c>
      <c r="BP691" s="1">
        <v>41</v>
      </c>
    </row>
    <row r="692" spans="1:99" x14ac:dyDescent="0.25">
      <c r="A692" s="4">
        <v>44542</v>
      </c>
      <c r="Z692" s="13">
        <v>5</v>
      </c>
      <c r="AD692" s="13">
        <v>0</v>
      </c>
      <c r="AI692" s="13">
        <v>75</v>
      </c>
      <c r="BH692" s="1">
        <v>21</v>
      </c>
      <c r="BL692" s="1">
        <v>43</v>
      </c>
      <c r="BP692" s="1">
        <v>41</v>
      </c>
    </row>
    <row r="693" spans="1:99" x14ac:dyDescent="0.25">
      <c r="A693" s="4">
        <v>44543</v>
      </c>
      <c r="Z693" s="13">
        <v>5</v>
      </c>
      <c r="AD693" s="13">
        <v>1</v>
      </c>
      <c r="AI693" s="13">
        <v>45</v>
      </c>
      <c r="BH693" s="1">
        <v>21</v>
      </c>
      <c r="BL693" s="1">
        <v>43</v>
      </c>
      <c r="BP693" s="1">
        <v>41</v>
      </c>
    </row>
    <row r="694" spans="1:99" x14ac:dyDescent="0.25">
      <c r="A694" s="4">
        <v>44544</v>
      </c>
      <c r="Z694" s="13">
        <v>3</v>
      </c>
      <c r="AD694" s="13">
        <v>3</v>
      </c>
      <c r="AI694" s="13">
        <v>46</v>
      </c>
      <c r="BH694" s="1">
        <v>21</v>
      </c>
      <c r="BL694" s="1">
        <v>43</v>
      </c>
      <c r="BP694" s="1">
        <v>41</v>
      </c>
    </row>
    <row r="695" spans="1:99" x14ac:dyDescent="0.25">
      <c r="A695" s="4">
        <v>44545</v>
      </c>
      <c r="Z695" s="13">
        <v>2</v>
      </c>
      <c r="AD695" s="13">
        <v>6</v>
      </c>
      <c r="AI695" s="13">
        <v>56</v>
      </c>
      <c r="BH695" s="1">
        <v>21</v>
      </c>
      <c r="BL695" s="1">
        <v>43</v>
      </c>
      <c r="BP695" s="1">
        <v>41</v>
      </c>
    </row>
    <row r="696" spans="1:99" x14ac:dyDescent="0.25">
      <c r="A696" s="4">
        <v>44546</v>
      </c>
      <c r="Z696" s="13">
        <v>4</v>
      </c>
      <c r="AD696" s="13">
        <v>6</v>
      </c>
      <c r="AI696" s="13">
        <v>44</v>
      </c>
      <c r="BH696" s="1">
        <v>21</v>
      </c>
      <c r="BL696" s="1">
        <v>43</v>
      </c>
      <c r="BP696" s="1">
        <v>41</v>
      </c>
    </row>
    <row r="697" spans="1:99" x14ac:dyDescent="0.25">
      <c r="A697" s="4">
        <v>44547</v>
      </c>
      <c r="Z697" s="13">
        <v>1</v>
      </c>
      <c r="AD697" s="13">
        <v>9</v>
      </c>
      <c r="AI697" s="13">
        <v>77</v>
      </c>
      <c r="BH697" s="1">
        <v>21</v>
      </c>
      <c r="BL697" s="1">
        <v>43</v>
      </c>
      <c r="BP697" s="1">
        <v>41</v>
      </c>
      <c r="CU697" s="1">
        <v>77</v>
      </c>
    </row>
    <row r="698" spans="1:99" x14ac:dyDescent="0.25">
      <c r="A698" s="4">
        <v>44548</v>
      </c>
      <c r="AD698" s="13">
        <v>13</v>
      </c>
      <c r="AI698" s="13">
        <v>31</v>
      </c>
      <c r="BL698" s="1">
        <v>43</v>
      </c>
      <c r="BP698" s="1">
        <v>41</v>
      </c>
    </row>
    <row r="699" spans="1:99" x14ac:dyDescent="0.25">
      <c r="A699" s="4">
        <v>44549</v>
      </c>
      <c r="AD699" s="13">
        <v>25</v>
      </c>
      <c r="AI699" s="13">
        <v>12</v>
      </c>
      <c r="BL699" s="1">
        <v>43</v>
      </c>
      <c r="BP699" s="1">
        <v>41</v>
      </c>
    </row>
    <row r="700" spans="1:99" x14ac:dyDescent="0.25">
      <c r="A700" s="4">
        <v>44550</v>
      </c>
      <c r="AD700" s="13">
        <v>43</v>
      </c>
      <c r="AI700" s="13">
        <v>11</v>
      </c>
      <c r="BL700" s="1">
        <v>43</v>
      </c>
      <c r="BP700" s="1">
        <v>41</v>
      </c>
    </row>
    <row r="701" spans="1:99" x14ac:dyDescent="0.25">
      <c r="A701" s="4">
        <v>44551</v>
      </c>
      <c r="AD701" s="13">
        <v>53</v>
      </c>
      <c r="AI701" s="13">
        <v>0</v>
      </c>
      <c r="BL701" s="1">
        <v>43</v>
      </c>
      <c r="BP701" s="1">
        <v>41</v>
      </c>
    </row>
    <row r="702" spans="1:99" x14ac:dyDescent="0.25">
      <c r="A702" s="4">
        <v>44552</v>
      </c>
      <c r="AD702" s="13">
        <v>86</v>
      </c>
      <c r="AI702" s="13">
        <v>1</v>
      </c>
      <c r="BL702" s="1">
        <v>43</v>
      </c>
      <c r="BP702" s="1">
        <v>41</v>
      </c>
    </row>
    <row r="703" spans="1:99" x14ac:dyDescent="0.25">
      <c r="A703" s="4">
        <v>44553</v>
      </c>
      <c r="AD703" s="13">
        <v>52</v>
      </c>
      <c r="AI703" s="13">
        <v>1</v>
      </c>
      <c r="BL703" s="1">
        <v>43</v>
      </c>
      <c r="BP703" s="1">
        <v>41</v>
      </c>
    </row>
    <row r="704" spans="1:99" x14ac:dyDescent="0.25">
      <c r="A704" s="4">
        <v>44554</v>
      </c>
      <c r="AD704" s="13">
        <v>78</v>
      </c>
      <c r="AI704" s="1">
        <v>0</v>
      </c>
      <c r="BL704" s="1">
        <v>43</v>
      </c>
      <c r="BP704" s="1">
        <v>41</v>
      </c>
    </row>
    <row r="705" spans="1:95" x14ac:dyDescent="0.25">
      <c r="A705" s="4">
        <v>44555</v>
      </c>
      <c r="AD705" s="13">
        <v>157</v>
      </c>
      <c r="AI705" s="1">
        <v>0</v>
      </c>
      <c r="BL705" s="1">
        <v>43</v>
      </c>
      <c r="BP705" s="1">
        <v>41</v>
      </c>
    </row>
    <row r="706" spans="1:95" x14ac:dyDescent="0.25">
      <c r="A706" s="4">
        <v>44556</v>
      </c>
      <c r="AD706" s="13">
        <v>152</v>
      </c>
      <c r="AI706" s="1">
        <v>1</v>
      </c>
      <c r="BL706" s="1">
        <v>43</v>
      </c>
      <c r="BP706" s="1">
        <v>41</v>
      </c>
    </row>
    <row r="707" spans="1:95" x14ac:dyDescent="0.25">
      <c r="A707" s="4">
        <v>44557</v>
      </c>
      <c r="AD707" s="13">
        <v>180</v>
      </c>
      <c r="AI707" s="1">
        <v>1</v>
      </c>
      <c r="BL707" s="1">
        <v>43</v>
      </c>
      <c r="BP707" s="1">
        <v>41</v>
      </c>
      <c r="CQ707" s="1">
        <v>180</v>
      </c>
    </row>
    <row r="708" spans="1:95" x14ac:dyDescent="0.25">
      <c r="A708" s="4">
        <v>44558</v>
      </c>
      <c r="AD708" s="13">
        <v>151</v>
      </c>
      <c r="AI708" s="1">
        <v>0</v>
      </c>
      <c r="BL708" s="1">
        <v>43</v>
      </c>
      <c r="BP708" s="1">
        <v>41</v>
      </c>
    </row>
    <row r="709" spans="1:95" x14ac:dyDescent="0.25">
      <c r="A709" s="4">
        <v>44559</v>
      </c>
      <c r="AD709" s="13">
        <v>155</v>
      </c>
      <c r="AI709" s="1">
        <v>0</v>
      </c>
      <c r="BL709" s="1">
        <v>43</v>
      </c>
      <c r="BP709" s="1">
        <v>41</v>
      </c>
    </row>
    <row r="710" spans="1:95" x14ac:dyDescent="0.25">
      <c r="A710" s="4">
        <v>44560</v>
      </c>
      <c r="AD710" s="13">
        <v>165</v>
      </c>
      <c r="AI710" s="1">
        <v>0</v>
      </c>
      <c r="BL710" s="1">
        <v>43</v>
      </c>
      <c r="BP710" s="1">
        <v>41</v>
      </c>
    </row>
    <row r="711" spans="1:95" x14ac:dyDescent="0.25">
      <c r="A711" s="4">
        <v>44561</v>
      </c>
      <c r="P711" s="5">
        <v>4</v>
      </c>
      <c r="AD711" s="13">
        <v>174</v>
      </c>
      <c r="AI711" s="1">
        <v>0</v>
      </c>
      <c r="AZ711" s="1">
        <v>27</v>
      </c>
      <c r="BL711" s="1">
        <v>43</v>
      </c>
      <c r="BP711" s="1">
        <v>41</v>
      </c>
    </row>
    <row r="712" spans="1:95" x14ac:dyDescent="0.25">
      <c r="A712" s="4">
        <v>44562</v>
      </c>
      <c r="D712" s="7"/>
      <c r="P712" s="5">
        <v>5</v>
      </c>
      <c r="AD712" s="42">
        <v>123</v>
      </c>
      <c r="AE712" s="19"/>
      <c r="AI712" s="13">
        <v>7</v>
      </c>
      <c r="AZ712" s="1">
        <v>27</v>
      </c>
      <c r="BL712" s="1">
        <v>43</v>
      </c>
      <c r="BP712" s="1">
        <v>41</v>
      </c>
    </row>
    <row r="713" spans="1:95" x14ac:dyDescent="0.25">
      <c r="A713" s="4">
        <v>44563</v>
      </c>
      <c r="D713" s="7"/>
      <c r="P713" s="5">
        <v>3</v>
      </c>
      <c r="AD713" s="42">
        <v>92</v>
      </c>
      <c r="AE713" s="19"/>
      <c r="AI713" s="13">
        <v>9</v>
      </c>
      <c r="AZ713" s="1">
        <v>27</v>
      </c>
      <c r="BL713" s="1">
        <v>43</v>
      </c>
      <c r="BP713" s="1">
        <v>41</v>
      </c>
    </row>
    <row r="714" spans="1:95" x14ac:dyDescent="0.25">
      <c r="A714" s="4">
        <v>44564</v>
      </c>
      <c r="D714" s="7"/>
      <c r="P714" s="5">
        <v>24</v>
      </c>
      <c r="AD714" s="42">
        <v>95</v>
      </c>
      <c r="AE714" s="19"/>
      <c r="AI714" s="13">
        <v>8</v>
      </c>
      <c r="AZ714" s="1">
        <v>27</v>
      </c>
      <c r="BL714" s="1">
        <v>43</v>
      </c>
      <c r="BP714" s="1">
        <v>41</v>
      </c>
    </row>
    <row r="715" spans="1:95" x14ac:dyDescent="0.25">
      <c r="A715" s="4">
        <v>44565</v>
      </c>
      <c r="D715" s="7"/>
      <c r="P715" s="5">
        <v>22</v>
      </c>
      <c r="AD715" s="42">
        <v>35</v>
      </c>
      <c r="AE715" s="19"/>
      <c r="AI715" s="13">
        <v>2</v>
      </c>
      <c r="AZ715" s="1">
        <v>27</v>
      </c>
      <c r="BL715" s="1">
        <v>43</v>
      </c>
      <c r="BP715" s="1">
        <v>41</v>
      </c>
    </row>
    <row r="716" spans="1:95" x14ac:dyDescent="0.25">
      <c r="A716" s="4">
        <v>44566</v>
      </c>
      <c r="D716" s="7"/>
      <c r="P716" s="5">
        <v>73</v>
      </c>
      <c r="AD716" s="42">
        <v>63</v>
      </c>
      <c r="AE716" s="19"/>
      <c r="AI716" s="13">
        <v>6</v>
      </c>
      <c r="AZ716" s="1">
        <v>27</v>
      </c>
      <c r="BL716" s="1">
        <v>43</v>
      </c>
      <c r="BP716" s="1">
        <v>41</v>
      </c>
    </row>
    <row r="717" spans="1:95" x14ac:dyDescent="0.25">
      <c r="A717" s="4">
        <v>44567</v>
      </c>
      <c r="D717" s="7"/>
      <c r="P717" s="5">
        <v>56</v>
      </c>
      <c r="AD717" s="42">
        <v>57</v>
      </c>
      <c r="AE717" s="19"/>
      <c r="AI717" s="13">
        <v>3</v>
      </c>
      <c r="AZ717" s="1">
        <v>27</v>
      </c>
      <c r="BL717" s="1">
        <v>43</v>
      </c>
      <c r="BP717" s="1">
        <v>41</v>
      </c>
    </row>
    <row r="718" spans="1:95" x14ac:dyDescent="0.25">
      <c r="A718" s="4">
        <v>44568</v>
      </c>
      <c r="D718" s="7"/>
      <c r="J718" s="19">
        <v>2</v>
      </c>
      <c r="P718" s="5">
        <v>44</v>
      </c>
      <c r="AD718" s="42">
        <v>46</v>
      </c>
      <c r="AE718" s="19"/>
      <c r="AI718" s="13">
        <v>4</v>
      </c>
      <c r="AU718" s="1">
        <v>19</v>
      </c>
      <c r="AZ718" s="1">
        <v>27</v>
      </c>
      <c r="BL718" s="1">
        <v>43</v>
      </c>
      <c r="BP718" s="1">
        <v>41</v>
      </c>
    </row>
    <row r="719" spans="1:95" x14ac:dyDescent="0.25">
      <c r="A719" s="4">
        <v>44569</v>
      </c>
      <c r="D719" s="23">
        <v>3</v>
      </c>
      <c r="J719" s="19">
        <v>1</v>
      </c>
      <c r="P719" s="5">
        <v>56</v>
      </c>
      <c r="AD719" s="42">
        <v>30</v>
      </c>
      <c r="AE719" s="19"/>
      <c r="AI719" s="13">
        <v>2</v>
      </c>
      <c r="AK719" s="1">
        <v>1</v>
      </c>
      <c r="AP719" s="1">
        <v>31</v>
      </c>
      <c r="AU719" s="1">
        <v>19</v>
      </c>
      <c r="AZ719" s="1">
        <v>27</v>
      </c>
      <c r="BL719" s="1">
        <v>43</v>
      </c>
      <c r="BP719" s="1">
        <v>41</v>
      </c>
    </row>
    <row r="720" spans="1:95" x14ac:dyDescent="0.25">
      <c r="A720" s="4">
        <v>44570</v>
      </c>
      <c r="D720" s="23">
        <v>23</v>
      </c>
      <c r="J720" s="19">
        <v>1</v>
      </c>
      <c r="P720" s="5">
        <v>60</v>
      </c>
      <c r="AD720" s="42">
        <v>15</v>
      </c>
      <c r="AE720" s="19"/>
      <c r="AI720" s="1">
        <v>0</v>
      </c>
      <c r="AP720" s="1">
        <v>31</v>
      </c>
      <c r="AU720" s="1">
        <v>19</v>
      </c>
      <c r="AZ720" s="1">
        <v>27</v>
      </c>
      <c r="BL720" s="1">
        <v>43</v>
      </c>
      <c r="BP720" s="1">
        <v>41</v>
      </c>
    </row>
    <row r="721" spans="1:97" x14ac:dyDescent="0.25">
      <c r="A721" s="4">
        <v>44571</v>
      </c>
      <c r="D721" s="23">
        <v>21</v>
      </c>
      <c r="J721" s="19">
        <v>0</v>
      </c>
      <c r="P721" s="5">
        <v>87</v>
      </c>
      <c r="AD721" s="42">
        <v>13</v>
      </c>
      <c r="AE721" s="19"/>
      <c r="AI721" s="1">
        <v>0</v>
      </c>
      <c r="AP721" s="1">
        <v>31</v>
      </c>
      <c r="AU721" s="1">
        <v>19</v>
      </c>
      <c r="AZ721" s="1">
        <v>27</v>
      </c>
      <c r="BL721" s="1">
        <v>43</v>
      </c>
      <c r="BP721" s="1">
        <v>41</v>
      </c>
    </row>
    <row r="722" spans="1:97" x14ac:dyDescent="0.25">
      <c r="A722" s="4">
        <v>44572</v>
      </c>
      <c r="D722" s="23">
        <v>36</v>
      </c>
      <c r="J722" s="19">
        <v>8</v>
      </c>
      <c r="P722" s="5">
        <v>118</v>
      </c>
      <c r="AD722" s="42">
        <v>8</v>
      </c>
      <c r="AE722" s="19"/>
      <c r="AI722" s="1">
        <v>0</v>
      </c>
      <c r="AP722" s="1">
        <v>31</v>
      </c>
      <c r="AU722" s="1">
        <v>19</v>
      </c>
      <c r="AZ722" s="1">
        <v>27</v>
      </c>
      <c r="BL722" s="1">
        <v>43</v>
      </c>
      <c r="BP722" s="1">
        <v>41</v>
      </c>
      <c r="CE722" s="1">
        <v>118</v>
      </c>
    </row>
    <row r="723" spans="1:97" x14ac:dyDescent="0.25">
      <c r="A723" s="4">
        <v>44573</v>
      </c>
      <c r="D723" s="23">
        <v>46</v>
      </c>
      <c r="J723" s="19">
        <v>2</v>
      </c>
      <c r="P723" s="5">
        <v>76</v>
      </c>
      <c r="AD723" s="42">
        <v>6</v>
      </c>
      <c r="AE723" s="19"/>
      <c r="AI723" s="1">
        <v>0</v>
      </c>
      <c r="AP723" s="1">
        <v>31</v>
      </c>
      <c r="AU723" s="1">
        <v>19</v>
      </c>
      <c r="AZ723" s="1">
        <v>27</v>
      </c>
      <c r="BL723" s="1">
        <v>43</v>
      </c>
      <c r="BP723" s="1">
        <v>41</v>
      </c>
    </row>
    <row r="724" spans="1:97" x14ac:dyDescent="0.25">
      <c r="A724" s="4">
        <v>44574</v>
      </c>
      <c r="D724" s="23">
        <v>35</v>
      </c>
      <c r="J724" s="19">
        <v>1</v>
      </c>
      <c r="P724" s="5">
        <v>98</v>
      </c>
      <c r="AD724" s="42">
        <v>8</v>
      </c>
      <c r="AE724" s="19"/>
      <c r="AI724" s="1">
        <v>0</v>
      </c>
      <c r="AP724" s="1">
        <v>31</v>
      </c>
      <c r="AU724" s="1">
        <v>19</v>
      </c>
      <c r="AZ724" s="1">
        <v>27</v>
      </c>
      <c r="BL724" s="1">
        <v>43</v>
      </c>
      <c r="BP724" s="1">
        <v>41</v>
      </c>
    </row>
    <row r="725" spans="1:97" x14ac:dyDescent="0.25">
      <c r="A725" s="4">
        <v>44575</v>
      </c>
      <c r="D725" s="23">
        <v>39</v>
      </c>
      <c r="J725" s="19">
        <v>10</v>
      </c>
      <c r="P725" s="5">
        <v>52</v>
      </c>
      <c r="AD725" s="42">
        <v>4</v>
      </c>
      <c r="AE725" s="19"/>
      <c r="AI725" s="1">
        <v>1</v>
      </c>
      <c r="AP725" s="1">
        <v>31</v>
      </c>
      <c r="AU725" s="1">
        <v>19</v>
      </c>
      <c r="AZ725" s="1">
        <v>27</v>
      </c>
      <c r="BL725" s="1">
        <v>43</v>
      </c>
      <c r="BP725" s="1">
        <v>41</v>
      </c>
      <c r="BZ725" s="1">
        <v>10</v>
      </c>
    </row>
    <row r="726" spans="1:97" x14ac:dyDescent="0.25">
      <c r="A726" s="4">
        <v>44576</v>
      </c>
      <c r="C726" s="38">
        <v>1</v>
      </c>
      <c r="D726" s="23">
        <v>33</v>
      </c>
      <c r="J726" s="19">
        <v>2</v>
      </c>
      <c r="P726" s="5">
        <v>29</v>
      </c>
      <c r="AD726" s="42">
        <v>1</v>
      </c>
      <c r="AE726" s="19"/>
      <c r="AI726" s="1">
        <v>1</v>
      </c>
      <c r="AO726" s="1">
        <v>23</v>
      </c>
      <c r="AP726" s="1">
        <v>31</v>
      </c>
      <c r="AU726" s="1">
        <v>19</v>
      </c>
      <c r="AZ726" s="1">
        <v>27</v>
      </c>
      <c r="BL726" s="1">
        <v>43</v>
      </c>
      <c r="BP726" s="1">
        <v>41</v>
      </c>
    </row>
    <row r="727" spans="1:97" x14ac:dyDescent="0.25">
      <c r="A727" s="4">
        <v>44577</v>
      </c>
      <c r="C727" s="38">
        <v>0</v>
      </c>
      <c r="D727" s="23">
        <v>80</v>
      </c>
      <c r="J727" s="19">
        <v>9</v>
      </c>
      <c r="P727" s="5">
        <v>68</v>
      </c>
      <c r="AD727" s="42">
        <v>5</v>
      </c>
      <c r="AE727" s="19"/>
      <c r="AO727" s="1">
        <v>23</v>
      </c>
      <c r="AP727" s="1">
        <v>31</v>
      </c>
      <c r="AU727" s="1">
        <v>19</v>
      </c>
      <c r="AZ727" s="1">
        <v>27</v>
      </c>
      <c r="BL727" s="1">
        <v>43</v>
      </c>
      <c r="BU727" s="1">
        <v>80</v>
      </c>
    </row>
    <row r="728" spans="1:97" x14ac:dyDescent="0.25">
      <c r="A728" s="4">
        <v>44578</v>
      </c>
      <c r="C728" s="38">
        <v>1</v>
      </c>
      <c r="D728" s="23">
        <v>18</v>
      </c>
      <c r="J728" s="19">
        <v>5</v>
      </c>
      <c r="P728" s="5">
        <v>102</v>
      </c>
      <c r="AD728" s="42">
        <v>1</v>
      </c>
      <c r="AE728" s="19"/>
      <c r="AO728" s="1">
        <v>23</v>
      </c>
      <c r="AP728" s="1">
        <v>31</v>
      </c>
      <c r="AU728" s="1">
        <v>19</v>
      </c>
      <c r="AZ728" s="1">
        <v>27</v>
      </c>
      <c r="BL728" s="1">
        <v>43</v>
      </c>
    </row>
    <row r="729" spans="1:97" x14ac:dyDescent="0.25">
      <c r="A729" s="4">
        <v>44579</v>
      </c>
      <c r="C729" s="38">
        <v>2</v>
      </c>
      <c r="D729" s="23">
        <v>14</v>
      </c>
      <c r="J729" s="19">
        <v>8</v>
      </c>
      <c r="P729" s="5">
        <v>33</v>
      </c>
      <c r="AD729" s="42">
        <v>0</v>
      </c>
      <c r="AE729" s="19"/>
      <c r="AO729" s="1">
        <v>23</v>
      </c>
      <c r="AP729" s="1">
        <v>31</v>
      </c>
      <c r="AU729" s="1">
        <v>19</v>
      </c>
      <c r="AZ729" s="1">
        <v>27</v>
      </c>
      <c r="BL729" s="1">
        <v>43</v>
      </c>
    </row>
    <row r="730" spans="1:97" x14ac:dyDescent="0.25">
      <c r="A730" s="4">
        <v>44580</v>
      </c>
      <c r="C730" s="38">
        <v>3</v>
      </c>
      <c r="D730" s="23">
        <v>14</v>
      </c>
      <c r="J730" s="19">
        <v>4</v>
      </c>
      <c r="P730" s="5">
        <v>24</v>
      </c>
      <c r="AD730" s="42">
        <v>0</v>
      </c>
      <c r="AE730" s="19"/>
      <c r="AO730" s="1">
        <v>23</v>
      </c>
      <c r="AP730" s="1">
        <v>31</v>
      </c>
      <c r="AU730" s="1">
        <v>19</v>
      </c>
      <c r="AZ730" s="1">
        <v>27</v>
      </c>
      <c r="BL730" s="1">
        <v>43</v>
      </c>
    </row>
    <row r="731" spans="1:97" x14ac:dyDescent="0.25">
      <c r="A731" s="4">
        <v>44581</v>
      </c>
      <c r="C731" s="38">
        <v>5</v>
      </c>
      <c r="D731" s="23">
        <v>8</v>
      </c>
      <c r="J731" s="19">
        <v>4</v>
      </c>
      <c r="P731" s="5">
        <v>3</v>
      </c>
      <c r="AD731" s="42">
        <v>3</v>
      </c>
      <c r="AE731" s="19"/>
      <c r="AO731" s="1">
        <v>23</v>
      </c>
      <c r="AP731" s="1">
        <v>31</v>
      </c>
      <c r="AU731" s="1">
        <v>19</v>
      </c>
      <c r="AZ731" s="1">
        <v>27</v>
      </c>
      <c r="BL731" s="1">
        <v>43</v>
      </c>
    </row>
    <row r="732" spans="1:97" x14ac:dyDescent="0.25">
      <c r="A732" s="4">
        <v>44582</v>
      </c>
      <c r="C732" s="38">
        <v>16</v>
      </c>
      <c r="D732" s="23">
        <v>6</v>
      </c>
      <c r="J732" s="19">
        <v>3</v>
      </c>
      <c r="P732" s="5">
        <v>4</v>
      </c>
      <c r="AD732" s="7"/>
      <c r="AE732" s="19"/>
      <c r="AO732" s="1">
        <v>23</v>
      </c>
      <c r="AP732" s="1">
        <v>31</v>
      </c>
      <c r="AU732" s="1">
        <v>19</v>
      </c>
      <c r="AZ732" s="1">
        <v>27</v>
      </c>
    </row>
    <row r="733" spans="1:97" x14ac:dyDescent="0.25">
      <c r="A733" s="4">
        <v>44583</v>
      </c>
      <c r="C733" s="38">
        <v>13</v>
      </c>
      <c r="D733" s="23">
        <v>5</v>
      </c>
      <c r="J733" s="19">
        <v>4</v>
      </c>
      <c r="P733" s="5">
        <v>1</v>
      </c>
      <c r="AD733" s="7"/>
      <c r="AE733" s="19"/>
      <c r="AO733" s="1">
        <v>23</v>
      </c>
      <c r="AP733" s="1">
        <v>31</v>
      </c>
      <c r="AU733" s="1">
        <v>19</v>
      </c>
      <c r="AZ733" s="1">
        <v>27</v>
      </c>
    </row>
    <row r="734" spans="1:97" x14ac:dyDescent="0.25">
      <c r="A734" s="4">
        <v>44584</v>
      </c>
      <c r="C734" s="38">
        <v>8</v>
      </c>
      <c r="D734" s="23">
        <v>1</v>
      </c>
      <c r="J734" s="19">
        <v>1</v>
      </c>
      <c r="P734" s="5">
        <v>1</v>
      </c>
      <c r="AD734" s="7"/>
      <c r="AE734" s="19"/>
      <c r="AG734" s="13">
        <v>2</v>
      </c>
      <c r="AO734" s="1">
        <v>23</v>
      </c>
      <c r="AP734" s="1">
        <v>31</v>
      </c>
      <c r="AU734" s="1">
        <v>19</v>
      </c>
      <c r="AZ734" s="1">
        <v>27</v>
      </c>
      <c r="BO734" s="1">
        <v>7</v>
      </c>
    </row>
    <row r="735" spans="1:97" x14ac:dyDescent="0.25">
      <c r="A735" s="4">
        <v>44585</v>
      </c>
      <c r="C735" s="38">
        <v>6</v>
      </c>
      <c r="D735" s="23">
        <v>1</v>
      </c>
      <c r="J735" s="19">
        <v>0</v>
      </c>
      <c r="P735" s="5">
        <v>3</v>
      </c>
      <c r="AD735" s="7"/>
      <c r="AE735" s="19"/>
      <c r="AG735" s="13">
        <v>22</v>
      </c>
      <c r="AO735" s="1">
        <v>23</v>
      </c>
      <c r="AP735" s="1">
        <v>31</v>
      </c>
      <c r="AU735" s="1">
        <v>19</v>
      </c>
      <c r="AZ735" s="1">
        <v>27</v>
      </c>
      <c r="BO735" s="1">
        <v>7</v>
      </c>
      <c r="CS735" s="1">
        <v>22</v>
      </c>
    </row>
    <row r="736" spans="1:97" x14ac:dyDescent="0.25">
      <c r="A736" s="4">
        <v>44586</v>
      </c>
      <c r="C736" s="38">
        <v>19</v>
      </c>
      <c r="D736" s="7">
        <v>0</v>
      </c>
      <c r="J736" s="19">
        <v>1</v>
      </c>
      <c r="P736" s="5">
        <v>1</v>
      </c>
      <c r="Q736" s="1">
        <v>13</v>
      </c>
      <c r="AD736" s="7"/>
      <c r="AE736" s="19"/>
      <c r="AG736" s="13">
        <v>8</v>
      </c>
      <c r="AO736" s="1">
        <v>23</v>
      </c>
      <c r="AP736" s="1">
        <v>31</v>
      </c>
      <c r="AU736" s="1">
        <v>19</v>
      </c>
      <c r="AZ736" s="1">
        <v>27</v>
      </c>
      <c r="BA736" s="1">
        <v>6</v>
      </c>
      <c r="BO736" s="1">
        <v>7</v>
      </c>
    </row>
    <row r="737" spans="1:99" x14ac:dyDescent="0.25">
      <c r="A737" s="4">
        <v>44587</v>
      </c>
      <c r="C737" s="38">
        <v>5</v>
      </c>
      <c r="D737" s="37">
        <v>1</v>
      </c>
      <c r="J737" s="7">
        <v>0</v>
      </c>
      <c r="P737" s="5">
        <v>1</v>
      </c>
      <c r="Q737" s="1">
        <v>16</v>
      </c>
      <c r="AD737" s="7"/>
      <c r="AE737" s="19"/>
      <c r="AG737" s="13">
        <v>7</v>
      </c>
      <c r="AI737" s="13">
        <v>6</v>
      </c>
      <c r="AO737" s="1">
        <v>23</v>
      </c>
      <c r="AP737" s="1">
        <v>31</v>
      </c>
      <c r="AZ737" s="1">
        <v>27</v>
      </c>
      <c r="BA737" s="1">
        <v>6</v>
      </c>
      <c r="BO737" s="1">
        <v>7</v>
      </c>
      <c r="BP737" s="1">
        <v>9</v>
      </c>
    </row>
    <row r="738" spans="1:99" x14ac:dyDescent="0.25">
      <c r="A738" s="4">
        <v>44588</v>
      </c>
      <c r="C738" s="38">
        <v>9</v>
      </c>
      <c r="D738" s="37">
        <v>4</v>
      </c>
      <c r="J738" s="7">
        <v>0</v>
      </c>
      <c r="Q738" s="1">
        <v>18</v>
      </c>
      <c r="AD738" s="7"/>
      <c r="AE738" s="19"/>
      <c r="AG738" s="13">
        <v>1</v>
      </c>
      <c r="AI738" s="13">
        <v>16</v>
      </c>
      <c r="AO738" s="1">
        <v>23</v>
      </c>
      <c r="AP738" s="1">
        <v>31</v>
      </c>
      <c r="BA738" s="1">
        <v>6</v>
      </c>
      <c r="BO738" s="1">
        <v>7</v>
      </c>
      <c r="BP738" s="1">
        <v>9</v>
      </c>
    </row>
    <row r="739" spans="1:99" x14ac:dyDescent="0.25">
      <c r="A739" s="4">
        <v>44589</v>
      </c>
      <c r="C739" s="38">
        <v>5</v>
      </c>
      <c r="D739" s="37">
        <v>5</v>
      </c>
      <c r="J739" s="7">
        <v>0</v>
      </c>
      <c r="Q739" s="1">
        <v>2</v>
      </c>
      <c r="AD739" s="7"/>
      <c r="AE739" s="19"/>
      <c r="AG739" s="13">
        <v>5</v>
      </c>
      <c r="AI739" s="13">
        <v>18</v>
      </c>
      <c r="AO739" s="1">
        <v>23</v>
      </c>
      <c r="AP739" s="1">
        <v>31</v>
      </c>
      <c r="BA739" s="1">
        <v>6</v>
      </c>
      <c r="BO739" s="1">
        <v>7</v>
      </c>
      <c r="BP739" s="1">
        <v>9</v>
      </c>
    </row>
    <row r="740" spans="1:99" x14ac:dyDescent="0.25">
      <c r="A740" s="4">
        <v>44590</v>
      </c>
      <c r="C740" s="38">
        <v>20</v>
      </c>
      <c r="D740" s="37">
        <v>4</v>
      </c>
      <c r="J740" s="7">
        <v>0</v>
      </c>
      <c r="Q740" s="1">
        <v>20</v>
      </c>
      <c r="AD740" s="7"/>
      <c r="AE740" s="19"/>
      <c r="AG740" s="13">
        <v>3</v>
      </c>
      <c r="AI740" s="13">
        <v>0</v>
      </c>
      <c r="AO740" s="1">
        <v>23</v>
      </c>
      <c r="AP740" s="1">
        <v>31</v>
      </c>
      <c r="BA740" s="1">
        <v>6</v>
      </c>
      <c r="BO740" s="1">
        <v>7</v>
      </c>
      <c r="BP740" s="1">
        <v>9</v>
      </c>
      <c r="BT740" s="1">
        <v>20</v>
      </c>
      <c r="CF740" s="1">
        <v>20</v>
      </c>
    </row>
    <row r="741" spans="1:99" x14ac:dyDescent="0.25">
      <c r="A741" s="4">
        <v>44591</v>
      </c>
      <c r="C741" s="38">
        <v>3</v>
      </c>
      <c r="D741" s="37">
        <v>11</v>
      </c>
      <c r="J741" s="7">
        <v>0</v>
      </c>
      <c r="Q741" s="1">
        <v>4</v>
      </c>
      <c r="AD741" s="7"/>
      <c r="AE741" s="19"/>
      <c r="AI741" s="13">
        <v>24</v>
      </c>
      <c r="AO741" s="1">
        <v>23</v>
      </c>
      <c r="AP741" s="1">
        <v>31</v>
      </c>
      <c r="BA741" s="1">
        <v>6</v>
      </c>
      <c r="BP741" s="1">
        <v>9</v>
      </c>
      <c r="CU741" s="1">
        <v>24</v>
      </c>
    </row>
    <row r="742" spans="1:99" x14ac:dyDescent="0.25">
      <c r="A742" s="4">
        <v>44592</v>
      </c>
      <c r="C742" s="38">
        <v>3</v>
      </c>
      <c r="D742" s="37">
        <v>7</v>
      </c>
      <c r="J742" s="7">
        <v>0</v>
      </c>
      <c r="AD742" s="7"/>
      <c r="AE742" s="19"/>
      <c r="AI742" s="13">
        <v>13</v>
      </c>
      <c r="AO742" s="1">
        <v>23</v>
      </c>
      <c r="AP742" s="1">
        <v>31</v>
      </c>
      <c r="BP742" s="1">
        <v>9</v>
      </c>
    </row>
    <row r="743" spans="1:99" x14ac:dyDescent="0.25">
      <c r="A743" s="4">
        <v>44593</v>
      </c>
      <c r="C743" s="38">
        <v>2</v>
      </c>
      <c r="D743" s="37">
        <v>12</v>
      </c>
      <c r="J743" s="1">
        <v>4</v>
      </c>
      <c r="AD743" s="7"/>
      <c r="AE743" s="19"/>
      <c r="AI743" s="13">
        <v>15</v>
      </c>
      <c r="AO743" s="1">
        <v>23</v>
      </c>
      <c r="AP743" s="1">
        <v>31</v>
      </c>
      <c r="BP743" s="1">
        <v>9</v>
      </c>
    </row>
    <row r="744" spans="1:99" x14ac:dyDescent="0.25">
      <c r="A744" s="4">
        <v>44594</v>
      </c>
      <c r="C744" s="38">
        <v>2</v>
      </c>
      <c r="D744" s="37">
        <v>9</v>
      </c>
      <c r="J744" s="1">
        <v>1</v>
      </c>
      <c r="AD744" s="7"/>
      <c r="AE744" s="19"/>
      <c r="AI744" s="13">
        <v>1</v>
      </c>
      <c r="AO744" s="1">
        <v>23</v>
      </c>
      <c r="AP744" s="1">
        <v>31</v>
      </c>
      <c r="BP744" s="1">
        <v>9</v>
      </c>
    </row>
    <row r="745" spans="1:99" x14ac:dyDescent="0.25">
      <c r="A745" s="4">
        <v>44595</v>
      </c>
      <c r="C745" s="38">
        <v>1</v>
      </c>
      <c r="D745" s="37">
        <v>4</v>
      </c>
      <c r="J745" s="1">
        <v>1</v>
      </c>
      <c r="AD745" s="7"/>
      <c r="AE745" s="19"/>
      <c r="AI745" s="13">
        <v>2</v>
      </c>
      <c r="AO745" s="1">
        <v>23</v>
      </c>
      <c r="AP745" s="1">
        <v>31</v>
      </c>
      <c r="BP745" s="1">
        <v>9</v>
      </c>
    </row>
    <row r="746" spans="1:99" x14ac:dyDescent="0.25">
      <c r="A746" s="4">
        <v>44596</v>
      </c>
      <c r="C746" s="38">
        <v>1</v>
      </c>
      <c r="D746" s="37">
        <v>2</v>
      </c>
      <c r="AD746" s="7"/>
      <c r="AE746" s="19"/>
      <c r="AO746" s="1">
        <v>23</v>
      </c>
      <c r="AP746" s="1">
        <v>31</v>
      </c>
    </row>
    <row r="747" spans="1:99" x14ac:dyDescent="0.25">
      <c r="A747" s="4">
        <v>44597</v>
      </c>
      <c r="C747" s="38">
        <v>1</v>
      </c>
      <c r="D747" s="37">
        <v>2</v>
      </c>
      <c r="K747" s="20">
        <v>6</v>
      </c>
      <c r="AD747" s="7"/>
      <c r="AE747" s="19"/>
      <c r="AO747" s="1">
        <v>23</v>
      </c>
      <c r="AP747" s="1">
        <v>31</v>
      </c>
      <c r="AV747" s="1">
        <v>12</v>
      </c>
    </row>
    <row r="748" spans="1:99" x14ac:dyDescent="0.25">
      <c r="A748" s="4">
        <v>44598</v>
      </c>
      <c r="C748" s="38">
        <v>3</v>
      </c>
      <c r="D748" s="37">
        <v>1</v>
      </c>
      <c r="K748" s="20">
        <v>42</v>
      </c>
      <c r="Q748" s="1">
        <v>5</v>
      </c>
      <c r="AD748" s="7"/>
      <c r="AE748" s="19"/>
      <c r="AO748" s="1">
        <v>23</v>
      </c>
      <c r="AP748" s="1">
        <v>31</v>
      </c>
      <c r="AV748" s="1">
        <v>12</v>
      </c>
      <c r="BA748" s="1">
        <v>91</v>
      </c>
    </row>
    <row r="749" spans="1:99" x14ac:dyDescent="0.25">
      <c r="A749" s="4">
        <v>44599</v>
      </c>
      <c r="D749" s="37">
        <v>1</v>
      </c>
      <c r="K749" s="20">
        <v>66</v>
      </c>
      <c r="Q749" s="1">
        <v>2</v>
      </c>
      <c r="AD749" s="7"/>
      <c r="AE749" s="19"/>
      <c r="AP749" s="1">
        <v>31</v>
      </c>
      <c r="AV749" s="1">
        <v>12</v>
      </c>
      <c r="BA749" s="1">
        <v>91</v>
      </c>
    </row>
    <row r="750" spans="1:99" x14ac:dyDescent="0.25">
      <c r="A750" s="4">
        <v>44600</v>
      </c>
      <c r="D750" s="7"/>
      <c r="K750" s="20">
        <v>72</v>
      </c>
      <c r="Q750" s="1">
        <v>1</v>
      </c>
      <c r="W750" s="21">
        <v>1</v>
      </c>
      <c r="AD750" s="7"/>
      <c r="AE750" s="19"/>
      <c r="AV750" s="1">
        <v>12</v>
      </c>
      <c r="BA750" s="1">
        <v>91</v>
      </c>
      <c r="BF750" s="1">
        <v>22</v>
      </c>
      <c r="CA750" s="1">
        <v>72</v>
      </c>
    </row>
    <row r="751" spans="1:99" x14ac:dyDescent="0.25">
      <c r="A751" s="4">
        <v>44601</v>
      </c>
      <c r="D751" s="7"/>
      <c r="K751" s="20">
        <v>7</v>
      </c>
      <c r="Q751" s="1">
        <v>1</v>
      </c>
      <c r="W751" s="21">
        <v>0</v>
      </c>
      <c r="AD751" s="7"/>
      <c r="AE751" s="19"/>
      <c r="AV751" s="1">
        <v>12</v>
      </c>
      <c r="BA751" s="1">
        <v>91</v>
      </c>
      <c r="BF751" s="1">
        <v>22</v>
      </c>
    </row>
    <row r="752" spans="1:99" x14ac:dyDescent="0.25">
      <c r="A752" s="4">
        <v>44602</v>
      </c>
      <c r="D752" s="7"/>
      <c r="K752" s="20">
        <v>33</v>
      </c>
      <c r="Q752" s="1">
        <v>0</v>
      </c>
      <c r="W752" s="21">
        <v>23</v>
      </c>
      <c r="AD752" s="7"/>
      <c r="AE752" s="19"/>
      <c r="AV752" s="1">
        <v>12</v>
      </c>
      <c r="BA752" s="1">
        <v>91</v>
      </c>
      <c r="BF752" s="1">
        <v>22</v>
      </c>
    </row>
    <row r="753" spans="1:91" x14ac:dyDescent="0.25">
      <c r="A753" s="4">
        <v>44603</v>
      </c>
      <c r="B753" s="36">
        <v>1</v>
      </c>
      <c r="D753" s="7"/>
      <c r="K753" s="20">
        <v>30</v>
      </c>
      <c r="Q753" s="1">
        <v>2</v>
      </c>
      <c r="W753" s="21">
        <v>12</v>
      </c>
      <c r="AD753" s="7"/>
      <c r="AE753" s="19"/>
      <c r="AN753" s="1">
        <v>102</v>
      </c>
      <c r="AV753" s="1">
        <v>12</v>
      </c>
      <c r="BA753" s="1">
        <v>91</v>
      </c>
      <c r="BF753" s="1">
        <v>22</v>
      </c>
    </row>
    <row r="754" spans="1:91" x14ac:dyDescent="0.25">
      <c r="A754" s="4">
        <v>44604</v>
      </c>
      <c r="B754" s="36">
        <v>0</v>
      </c>
      <c r="D754" s="7"/>
      <c r="J754" s="21">
        <v>1</v>
      </c>
      <c r="K754" s="20">
        <v>13</v>
      </c>
      <c r="Q754" s="1">
        <v>0</v>
      </c>
      <c r="W754" s="21">
        <v>11</v>
      </c>
      <c r="AD754" s="7"/>
      <c r="AE754" s="19"/>
      <c r="AH754" s="24">
        <v>3</v>
      </c>
      <c r="AN754" s="1">
        <v>102</v>
      </c>
      <c r="AU754" s="1">
        <v>73</v>
      </c>
      <c r="AV754" s="1">
        <v>12</v>
      </c>
      <c r="BA754" s="1">
        <v>91</v>
      </c>
      <c r="BF754" s="1">
        <v>22</v>
      </c>
      <c r="BO754" s="1">
        <v>83</v>
      </c>
    </row>
    <row r="755" spans="1:91" x14ac:dyDescent="0.25">
      <c r="A755" s="4">
        <v>44605</v>
      </c>
      <c r="B755" s="36">
        <v>0</v>
      </c>
      <c r="D755" s="7"/>
      <c r="J755" s="21">
        <v>2</v>
      </c>
      <c r="K755" s="20">
        <v>6</v>
      </c>
      <c r="Q755" s="1">
        <v>1</v>
      </c>
      <c r="W755" s="21">
        <v>18</v>
      </c>
      <c r="AD755" s="7"/>
      <c r="AE755" s="19"/>
      <c r="AH755" s="24">
        <v>7</v>
      </c>
      <c r="AN755" s="1">
        <v>102</v>
      </c>
      <c r="AU755" s="1">
        <v>73</v>
      </c>
      <c r="AV755" s="1">
        <v>12</v>
      </c>
      <c r="BA755" s="1">
        <v>91</v>
      </c>
      <c r="BF755" s="1">
        <v>22</v>
      </c>
      <c r="BO755" s="1">
        <v>83</v>
      </c>
    </row>
    <row r="756" spans="1:91" x14ac:dyDescent="0.25">
      <c r="A756" s="4">
        <v>44606</v>
      </c>
      <c r="B756" s="24">
        <v>12</v>
      </c>
      <c r="D756" s="7"/>
      <c r="J756" s="21">
        <v>2</v>
      </c>
      <c r="K756" s="20">
        <v>1</v>
      </c>
      <c r="Q756" s="1">
        <v>0</v>
      </c>
      <c r="W756" s="21">
        <v>29</v>
      </c>
      <c r="AD756" s="7"/>
      <c r="AE756" s="19"/>
      <c r="AH756" s="24">
        <v>3</v>
      </c>
      <c r="AN756" s="1">
        <v>102</v>
      </c>
      <c r="AU756" s="1">
        <v>73</v>
      </c>
      <c r="AV756" s="1">
        <v>12</v>
      </c>
      <c r="BA756" s="1">
        <v>91</v>
      </c>
      <c r="BF756" s="1">
        <v>22</v>
      </c>
      <c r="BO756" s="1">
        <v>83</v>
      </c>
      <c r="CK756" s="1">
        <v>29</v>
      </c>
    </row>
    <row r="757" spans="1:91" x14ac:dyDescent="0.25">
      <c r="A757" s="4">
        <v>44607</v>
      </c>
      <c r="B757" s="24">
        <v>22</v>
      </c>
      <c r="D757" s="7"/>
      <c r="J757" s="21">
        <v>4</v>
      </c>
      <c r="K757" s="20">
        <v>2</v>
      </c>
      <c r="Q757" s="1">
        <v>0</v>
      </c>
      <c r="W757" s="21">
        <v>15</v>
      </c>
      <c r="Z757" s="42">
        <v>7</v>
      </c>
      <c r="AD757" s="7"/>
      <c r="AE757" s="19"/>
      <c r="AH757" s="24">
        <v>1</v>
      </c>
      <c r="AN757" s="1">
        <v>102</v>
      </c>
      <c r="AU757" s="1">
        <v>73</v>
      </c>
      <c r="AV757" s="1">
        <v>12</v>
      </c>
      <c r="BA757" s="1">
        <v>91</v>
      </c>
      <c r="BF757" s="1">
        <v>22</v>
      </c>
      <c r="BH757" s="1">
        <v>45</v>
      </c>
      <c r="BO757" s="1">
        <v>83</v>
      </c>
    </row>
    <row r="758" spans="1:91" x14ac:dyDescent="0.25">
      <c r="A758" s="4">
        <v>44608</v>
      </c>
      <c r="B758" s="24">
        <v>23</v>
      </c>
      <c r="D758" s="7"/>
      <c r="J758" s="21">
        <v>9</v>
      </c>
      <c r="K758" s="20">
        <v>1</v>
      </c>
      <c r="Q758" s="1">
        <v>0</v>
      </c>
      <c r="W758" s="21">
        <v>7</v>
      </c>
      <c r="Z758" s="42">
        <v>3</v>
      </c>
      <c r="AD758" s="7"/>
      <c r="AE758" s="19"/>
      <c r="AH758" s="24">
        <v>3</v>
      </c>
      <c r="AN758" s="1">
        <v>102</v>
      </c>
      <c r="AU758" s="1">
        <v>73</v>
      </c>
      <c r="AV758" s="1">
        <v>12</v>
      </c>
      <c r="BA758" s="1">
        <v>91</v>
      </c>
      <c r="BF758" s="1">
        <v>22</v>
      </c>
      <c r="BH758" s="1">
        <v>45</v>
      </c>
      <c r="BO758" s="1">
        <v>83</v>
      </c>
    </row>
    <row r="759" spans="1:91" x14ac:dyDescent="0.25">
      <c r="A759" s="4">
        <v>44609</v>
      </c>
      <c r="B759" s="24">
        <v>16</v>
      </c>
      <c r="D759" s="7"/>
      <c r="J759" s="21">
        <v>5</v>
      </c>
      <c r="K759" s="7"/>
      <c r="Q759" s="1">
        <v>0</v>
      </c>
      <c r="W759" s="21">
        <v>9</v>
      </c>
      <c r="Z759" s="42">
        <v>22</v>
      </c>
      <c r="AD759" s="7"/>
      <c r="AE759" s="19"/>
      <c r="AH759" s="24">
        <v>8</v>
      </c>
      <c r="AN759" s="1">
        <v>102</v>
      </c>
      <c r="AU759" s="1">
        <v>73</v>
      </c>
      <c r="BA759" s="1">
        <v>91</v>
      </c>
      <c r="BF759" s="1">
        <v>22</v>
      </c>
      <c r="BH759" s="1">
        <v>45</v>
      </c>
      <c r="BO759" s="1">
        <v>83</v>
      </c>
    </row>
    <row r="760" spans="1:91" x14ac:dyDescent="0.25">
      <c r="A760" s="4">
        <v>44610</v>
      </c>
      <c r="B760" s="24">
        <v>28</v>
      </c>
      <c r="D760" s="7"/>
      <c r="J760" s="21">
        <v>3</v>
      </c>
      <c r="K760" s="7"/>
      <c r="Q760" s="18">
        <v>2</v>
      </c>
      <c r="W760" s="21">
        <v>8</v>
      </c>
      <c r="Z760" s="42">
        <v>46</v>
      </c>
      <c r="AD760" s="7"/>
      <c r="AE760" s="19"/>
      <c r="AH760" s="24">
        <v>7</v>
      </c>
      <c r="AN760" s="1">
        <v>102</v>
      </c>
      <c r="AU760" s="1">
        <v>73</v>
      </c>
      <c r="BA760" s="1">
        <v>91</v>
      </c>
      <c r="BF760" s="1">
        <v>22</v>
      </c>
      <c r="BH760" s="1">
        <v>45</v>
      </c>
      <c r="BO760" s="1">
        <v>83</v>
      </c>
    </row>
    <row r="761" spans="1:91" x14ac:dyDescent="0.25">
      <c r="A761" s="4">
        <v>44611</v>
      </c>
      <c r="B761" s="24">
        <v>16</v>
      </c>
      <c r="D761" s="7"/>
      <c r="J761" s="21">
        <v>8</v>
      </c>
      <c r="K761" s="7"/>
      <c r="Q761" s="18">
        <v>0</v>
      </c>
      <c r="W761" s="21">
        <v>9</v>
      </c>
      <c r="Z761" s="42">
        <v>66</v>
      </c>
      <c r="AD761" s="7"/>
      <c r="AE761" s="19"/>
      <c r="AH761" s="24">
        <v>3</v>
      </c>
      <c r="AN761" s="1">
        <v>102</v>
      </c>
      <c r="AU761" s="1">
        <v>73</v>
      </c>
      <c r="BA761" s="1">
        <v>91</v>
      </c>
      <c r="BF761" s="1">
        <v>22</v>
      </c>
      <c r="BH761" s="1">
        <v>45</v>
      </c>
      <c r="BO761" s="1">
        <v>83</v>
      </c>
      <c r="CM761" s="1">
        <v>66</v>
      </c>
    </row>
    <row r="762" spans="1:91" x14ac:dyDescent="0.25">
      <c r="A762" s="4">
        <v>44612</v>
      </c>
      <c r="B762" s="24">
        <v>17</v>
      </c>
      <c r="D762" s="7"/>
      <c r="E762" s="40">
        <v>2</v>
      </c>
      <c r="J762" s="21">
        <v>7</v>
      </c>
      <c r="K762" s="7"/>
      <c r="Q762" s="19">
        <v>4</v>
      </c>
      <c r="W762" s="21">
        <v>7</v>
      </c>
      <c r="Z762" s="42">
        <v>32</v>
      </c>
      <c r="AD762" s="7"/>
      <c r="AE762" s="19"/>
      <c r="AH762" s="24">
        <v>5</v>
      </c>
      <c r="AN762" s="1">
        <v>102</v>
      </c>
      <c r="AQ762" s="1">
        <v>93</v>
      </c>
      <c r="AU762" s="1">
        <v>73</v>
      </c>
      <c r="BA762" s="1">
        <v>91</v>
      </c>
      <c r="BF762" s="1">
        <v>22</v>
      </c>
      <c r="BH762" s="1">
        <v>45</v>
      </c>
      <c r="BO762" s="1">
        <v>83</v>
      </c>
    </row>
    <row r="763" spans="1:91" x14ac:dyDescent="0.25">
      <c r="A763" s="4">
        <v>44613</v>
      </c>
      <c r="B763" s="24">
        <v>14</v>
      </c>
      <c r="D763" s="7"/>
      <c r="E763" s="40">
        <v>0</v>
      </c>
      <c r="J763" s="21">
        <v>3</v>
      </c>
      <c r="K763" s="7"/>
      <c r="Q763" s="19">
        <v>0</v>
      </c>
      <c r="W763" s="21">
        <v>6</v>
      </c>
      <c r="Z763" s="42">
        <v>22</v>
      </c>
      <c r="AD763" s="7"/>
      <c r="AE763" s="19"/>
      <c r="AH763" s="24">
        <v>5</v>
      </c>
      <c r="AN763" s="1">
        <v>102</v>
      </c>
      <c r="AQ763" s="1">
        <v>93</v>
      </c>
      <c r="AU763" s="1">
        <v>73</v>
      </c>
      <c r="BA763" s="1">
        <v>91</v>
      </c>
      <c r="BF763" s="1">
        <v>22</v>
      </c>
      <c r="BH763" s="1">
        <v>45</v>
      </c>
      <c r="BO763" s="1">
        <v>83</v>
      </c>
    </row>
    <row r="764" spans="1:91" x14ac:dyDescent="0.25">
      <c r="A764" s="4">
        <v>44614</v>
      </c>
      <c r="B764" s="24">
        <v>5</v>
      </c>
      <c r="D764" s="7"/>
      <c r="E764" s="40">
        <v>0</v>
      </c>
      <c r="J764" s="21">
        <v>9</v>
      </c>
      <c r="K764" s="7"/>
      <c r="Q764" s="19">
        <v>1</v>
      </c>
      <c r="W764" s="21">
        <v>9</v>
      </c>
      <c r="Z764" s="42">
        <v>47</v>
      </c>
      <c r="AB764" s="1">
        <v>1</v>
      </c>
      <c r="AD764" s="7"/>
      <c r="AE764" s="19"/>
      <c r="AH764" s="24">
        <v>3</v>
      </c>
      <c r="AN764" s="1">
        <v>102</v>
      </c>
      <c r="AQ764" s="1">
        <v>93</v>
      </c>
      <c r="AU764" s="1">
        <v>73</v>
      </c>
      <c r="BA764" s="1">
        <v>91</v>
      </c>
      <c r="BF764" s="1">
        <v>22</v>
      </c>
      <c r="BH764" s="1">
        <v>45</v>
      </c>
      <c r="BO764" s="1">
        <v>83</v>
      </c>
    </row>
    <row r="765" spans="1:91" x14ac:dyDescent="0.25">
      <c r="A765" s="4">
        <v>44615</v>
      </c>
      <c r="B765" s="24">
        <v>8</v>
      </c>
      <c r="D765" s="7"/>
      <c r="E765" s="40">
        <v>0</v>
      </c>
      <c r="J765" s="21">
        <v>9</v>
      </c>
      <c r="K765" s="23">
        <v>3</v>
      </c>
      <c r="Q765" s="19">
        <v>5</v>
      </c>
      <c r="W765" s="21">
        <v>8</v>
      </c>
      <c r="Z765" s="42">
        <v>40</v>
      </c>
      <c r="AD765" s="7"/>
      <c r="AE765" s="19"/>
      <c r="AH765" s="24">
        <v>10</v>
      </c>
      <c r="AN765" s="1">
        <v>102</v>
      </c>
      <c r="AQ765" s="1">
        <v>93</v>
      </c>
      <c r="AU765" s="1">
        <v>73</v>
      </c>
      <c r="AV765" s="1">
        <v>71</v>
      </c>
      <c r="BA765" s="1">
        <v>91</v>
      </c>
      <c r="BF765" s="1">
        <v>22</v>
      </c>
      <c r="BH765" s="1">
        <v>45</v>
      </c>
      <c r="BO765" s="1">
        <v>83</v>
      </c>
    </row>
    <row r="766" spans="1:91" x14ac:dyDescent="0.25">
      <c r="A766" s="4">
        <v>44616</v>
      </c>
      <c r="B766" s="24">
        <v>2</v>
      </c>
      <c r="D766" s="19">
        <v>1</v>
      </c>
      <c r="E766" s="40">
        <v>1</v>
      </c>
      <c r="J766" s="21">
        <v>13</v>
      </c>
      <c r="K766" s="23">
        <v>4</v>
      </c>
      <c r="Q766" s="19">
        <v>4</v>
      </c>
      <c r="W766" s="21">
        <v>18</v>
      </c>
      <c r="Z766" s="42">
        <v>30</v>
      </c>
      <c r="AB766" s="1">
        <v>1</v>
      </c>
      <c r="AD766" s="7"/>
      <c r="AE766" s="19"/>
      <c r="AH766" s="24">
        <v>14</v>
      </c>
      <c r="AN766" s="1">
        <v>102</v>
      </c>
      <c r="AP766" s="1">
        <v>50</v>
      </c>
      <c r="AQ766" s="1">
        <v>93</v>
      </c>
      <c r="AU766" s="1">
        <v>73</v>
      </c>
      <c r="AV766" s="1">
        <v>71</v>
      </c>
      <c r="BA766" s="1">
        <v>91</v>
      </c>
      <c r="BF766" s="1">
        <v>22</v>
      </c>
      <c r="BH766" s="1">
        <v>45</v>
      </c>
      <c r="BO766" s="1">
        <v>83</v>
      </c>
    </row>
    <row r="767" spans="1:91" x14ac:dyDescent="0.25">
      <c r="A767" s="4">
        <v>44617</v>
      </c>
      <c r="B767" s="24">
        <v>4</v>
      </c>
      <c r="D767" s="19">
        <v>0</v>
      </c>
      <c r="E767" s="40">
        <v>1</v>
      </c>
      <c r="J767" s="21">
        <v>39</v>
      </c>
      <c r="K767" s="23">
        <v>9</v>
      </c>
      <c r="Q767" s="19">
        <v>2</v>
      </c>
      <c r="W767" s="21">
        <v>10</v>
      </c>
      <c r="Z767" s="42">
        <v>32</v>
      </c>
      <c r="AD767" s="7"/>
      <c r="AE767" s="19"/>
      <c r="AH767" s="24">
        <v>20</v>
      </c>
      <c r="AN767" s="1">
        <v>102</v>
      </c>
      <c r="AP767" s="1">
        <v>50</v>
      </c>
      <c r="AQ767" s="1">
        <v>93</v>
      </c>
      <c r="AU767" s="1">
        <v>73</v>
      </c>
      <c r="AV767" s="1">
        <v>71</v>
      </c>
      <c r="BA767" s="1">
        <v>91</v>
      </c>
      <c r="BF767" s="1">
        <v>22</v>
      </c>
      <c r="BH767" s="1">
        <v>45</v>
      </c>
      <c r="BO767" s="1">
        <v>83</v>
      </c>
    </row>
    <row r="768" spans="1:91" x14ac:dyDescent="0.25">
      <c r="A768" s="4">
        <v>44618</v>
      </c>
      <c r="B768" s="24">
        <v>2</v>
      </c>
      <c r="D768" s="19">
        <v>4</v>
      </c>
      <c r="E768" s="40">
        <v>1</v>
      </c>
      <c r="J768" s="21">
        <v>53</v>
      </c>
      <c r="K768" s="23">
        <v>7</v>
      </c>
      <c r="Q768" s="19">
        <v>0</v>
      </c>
      <c r="W768" s="21">
        <v>6</v>
      </c>
      <c r="Z768" s="42">
        <v>38</v>
      </c>
      <c r="AD768" s="7"/>
      <c r="AE768" s="19"/>
      <c r="AH768" s="24">
        <v>14</v>
      </c>
      <c r="AN768" s="1">
        <v>102</v>
      </c>
      <c r="AP768" s="1">
        <v>50</v>
      </c>
      <c r="AQ768" s="1">
        <v>93</v>
      </c>
      <c r="AU768" s="1">
        <v>73</v>
      </c>
      <c r="AV768" s="1">
        <v>71</v>
      </c>
      <c r="BA768" s="1">
        <v>91</v>
      </c>
      <c r="BF768" s="1">
        <v>22</v>
      </c>
      <c r="BH768" s="1">
        <v>45</v>
      </c>
      <c r="BO768" s="1">
        <v>83</v>
      </c>
    </row>
    <row r="769" spans="1:98" x14ac:dyDescent="0.25">
      <c r="A769" s="4">
        <v>44619</v>
      </c>
      <c r="B769" s="24">
        <v>0</v>
      </c>
      <c r="D769" s="19">
        <v>10</v>
      </c>
      <c r="E769" s="40">
        <v>1</v>
      </c>
      <c r="J769" s="21">
        <v>65</v>
      </c>
      <c r="K769" s="23">
        <v>11</v>
      </c>
      <c r="Q769" s="19">
        <v>7</v>
      </c>
      <c r="W769" s="21">
        <v>1</v>
      </c>
      <c r="Z769" s="42">
        <v>11</v>
      </c>
      <c r="AD769" s="7"/>
      <c r="AE769" s="19"/>
      <c r="AH769" s="24">
        <v>23</v>
      </c>
      <c r="AN769" s="1">
        <v>102</v>
      </c>
      <c r="AP769" s="1">
        <v>50</v>
      </c>
      <c r="AQ769" s="1">
        <v>93</v>
      </c>
      <c r="AU769" s="1">
        <v>73</v>
      </c>
      <c r="AV769" s="1">
        <v>71</v>
      </c>
      <c r="BA769" s="1">
        <v>91</v>
      </c>
      <c r="BF769" s="1">
        <v>22</v>
      </c>
      <c r="BH769" s="1">
        <v>45</v>
      </c>
      <c r="BO769" s="1">
        <v>83</v>
      </c>
    </row>
    <row r="770" spans="1:98" x14ac:dyDescent="0.25">
      <c r="A770" s="4">
        <v>44620</v>
      </c>
      <c r="B770" s="24">
        <v>3</v>
      </c>
      <c r="D770" s="19">
        <v>6</v>
      </c>
      <c r="E770" s="40">
        <v>3</v>
      </c>
      <c r="J770" s="21">
        <v>56</v>
      </c>
      <c r="K770" s="23">
        <v>6</v>
      </c>
      <c r="Q770" s="19">
        <v>9</v>
      </c>
      <c r="W770" s="21">
        <v>0</v>
      </c>
      <c r="Z770" s="42">
        <v>14</v>
      </c>
      <c r="AB770" s="14">
        <v>1</v>
      </c>
      <c r="AD770" s="7"/>
      <c r="AE770" s="19"/>
      <c r="AH770" s="24">
        <v>12</v>
      </c>
      <c r="AN770" s="1">
        <v>102</v>
      </c>
      <c r="AP770" s="1">
        <v>50</v>
      </c>
      <c r="AQ770" s="1">
        <v>93</v>
      </c>
      <c r="AU770" s="1">
        <v>73</v>
      </c>
      <c r="AV770" s="1">
        <v>71</v>
      </c>
      <c r="BA770" s="1">
        <v>91</v>
      </c>
      <c r="BF770" s="1">
        <v>22</v>
      </c>
      <c r="BH770" s="1">
        <v>45</v>
      </c>
      <c r="BJ770" s="1">
        <v>69</v>
      </c>
      <c r="BO770" s="1">
        <v>83</v>
      </c>
    </row>
    <row r="771" spans="1:98" x14ac:dyDescent="0.25">
      <c r="A771" s="4">
        <v>44621</v>
      </c>
      <c r="B771" s="19">
        <v>0</v>
      </c>
      <c r="D771" s="19">
        <v>1</v>
      </c>
      <c r="E771" s="41">
        <v>2</v>
      </c>
      <c r="J771" s="21">
        <v>45</v>
      </c>
      <c r="K771" s="23">
        <v>10</v>
      </c>
      <c r="Q771" s="19">
        <v>16</v>
      </c>
      <c r="V771" s="24">
        <v>8</v>
      </c>
      <c r="W771" s="21">
        <v>2</v>
      </c>
      <c r="Z771" s="42">
        <v>16</v>
      </c>
      <c r="AB771" s="21">
        <v>4</v>
      </c>
      <c r="AD771" s="7"/>
      <c r="AE771" s="19"/>
      <c r="AH771" s="24">
        <v>10</v>
      </c>
      <c r="AN771" s="1">
        <v>102</v>
      </c>
      <c r="AP771" s="1">
        <v>50</v>
      </c>
      <c r="AQ771" s="1">
        <v>93</v>
      </c>
      <c r="AU771" s="1">
        <v>73</v>
      </c>
      <c r="AV771" s="1">
        <v>71</v>
      </c>
      <c r="BA771" s="1">
        <v>91</v>
      </c>
      <c r="BE771" s="1">
        <v>84</v>
      </c>
      <c r="BF771" s="1">
        <v>22</v>
      </c>
      <c r="BH771" s="1">
        <v>45</v>
      </c>
      <c r="BJ771" s="1">
        <v>69</v>
      </c>
      <c r="BO771" s="1">
        <v>83</v>
      </c>
    </row>
    <row r="772" spans="1:98" x14ac:dyDescent="0.25">
      <c r="A772" s="4">
        <v>44622</v>
      </c>
      <c r="B772" s="38">
        <v>1</v>
      </c>
      <c r="D772" s="19">
        <v>1</v>
      </c>
      <c r="E772" s="41">
        <v>8</v>
      </c>
      <c r="J772" s="21">
        <v>34</v>
      </c>
      <c r="K772" s="23">
        <v>8</v>
      </c>
      <c r="Q772" s="19">
        <v>4</v>
      </c>
      <c r="T772" s="21">
        <v>1</v>
      </c>
      <c r="V772" s="24">
        <v>10</v>
      </c>
      <c r="W772" s="7"/>
      <c r="Z772" s="42">
        <v>7</v>
      </c>
      <c r="AB772" s="21">
        <v>0</v>
      </c>
      <c r="AD772" s="7"/>
      <c r="AE772" s="19"/>
      <c r="AH772" s="24">
        <v>10</v>
      </c>
      <c r="AN772" s="1">
        <v>102</v>
      </c>
      <c r="AP772" s="1">
        <v>50</v>
      </c>
      <c r="AQ772" s="1">
        <v>93</v>
      </c>
      <c r="AU772" s="1">
        <v>73</v>
      </c>
      <c r="AV772" s="1">
        <v>71</v>
      </c>
      <c r="BA772" s="1">
        <v>91</v>
      </c>
      <c r="BC772" s="1">
        <v>76</v>
      </c>
      <c r="BE772" s="1">
        <v>84</v>
      </c>
      <c r="BH772" s="1">
        <v>45</v>
      </c>
      <c r="BJ772" s="1">
        <v>69</v>
      </c>
      <c r="BO772" s="1">
        <v>83</v>
      </c>
    </row>
    <row r="773" spans="1:98" x14ac:dyDescent="0.25">
      <c r="A773" s="4">
        <v>44623</v>
      </c>
      <c r="B773" s="38">
        <v>1</v>
      </c>
      <c r="D773" s="19">
        <v>1</v>
      </c>
      <c r="E773" s="41">
        <v>16</v>
      </c>
      <c r="J773" s="21">
        <v>28</v>
      </c>
      <c r="K773" s="23">
        <v>8</v>
      </c>
      <c r="Q773" s="19">
        <v>8</v>
      </c>
      <c r="T773" s="21">
        <v>5</v>
      </c>
      <c r="V773" s="24">
        <v>16</v>
      </c>
      <c r="W773" s="7"/>
      <c r="Z773" s="42">
        <v>9</v>
      </c>
      <c r="AB773" s="21">
        <v>0</v>
      </c>
      <c r="AD773" s="7"/>
      <c r="AE773" s="19"/>
      <c r="AH773" s="24">
        <v>4</v>
      </c>
      <c r="AI773" s="39">
        <v>2</v>
      </c>
      <c r="AN773" s="1">
        <v>102</v>
      </c>
      <c r="AP773" s="1">
        <v>50</v>
      </c>
      <c r="AQ773" s="1">
        <v>93</v>
      </c>
      <c r="AU773" s="1">
        <v>73</v>
      </c>
      <c r="AV773" s="1">
        <v>71</v>
      </c>
      <c r="BA773" s="1">
        <v>91</v>
      </c>
      <c r="BC773" s="1">
        <v>76</v>
      </c>
      <c r="BE773" s="1">
        <v>84</v>
      </c>
      <c r="BH773" s="1">
        <v>45</v>
      </c>
      <c r="BJ773" s="1">
        <v>69</v>
      </c>
      <c r="BO773" s="1">
        <v>83</v>
      </c>
      <c r="BP773" s="1">
        <v>82</v>
      </c>
    </row>
    <row r="774" spans="1:98" x14ac:dyDescent="0.25">
      <c r="A774" s="4">
        <v>44624</v>
      </c>
      <c r="B774" s="38">
        <v>1</v>
      </c>
      <c r="D774" s="19">
        <v>3</v>
      </c>
      <c r="E774" s="41">
        <v>19</v>
      </c>
      <c r="J774" s="21">
        <v>64</v>
      </c>
      <c r="K774" s="23">
        <v>7</v>
      </c>
      <c r="Q774" s="19">
        <v>1</v>
      </c>
      <c r="T774" s="21">
        <v>7</v>
      </c>
      <c r="V774" s="24">
        <v>43</v>
      </c>
      <c r="W774" s="7"/>
      <c r="Z774" s="42">
        <v>8</v>
      </c>
      <c r="AB774" s="21">
        <v>5</v>
      </c>
      <c r="AD774" s="7"/>
      <c r="AE774" s="19"/>
      <c r="AH774" s="23">
        <v>10</v>
      </c>
      <c r="AI774" s="39">
        <v>0</v>
      </c>
      <c r="AN774" s="1">
        <v>102</v>
      </c>
      <c r="AP774" s="1">
        <v>50</v>
      </c>
      <c r="AQ774" s="1">
        <v>93</v>
      </c>
      <c r="AU774" s="1">
        <v>73</v>
      </c>
      <c r="AV774" s="1">
        <v>71</v>
      </c>
      <c r="BA774" s="1">
        <v>91</v>
      </c>
      <c r="BC774" s="1">
        <v>76</v>
      </c>
      <c r="BE774" s="1">
        <v>84</v>
      </c>
      <c r="BH774" s="1">
        <v>45</v>
      </c>
      <c r="BJ774" s="1">
        <v>69</v>
      </c>
      <c r="BO774" s="1">
        <v>83</v>
      </c>
      <c r="BP774" s="1">
        <v>82</v>
      </c>
    </row>
    <row r="775" spans="1:98" x14ac:dyDescent="0.25">
      <c r="A775" s="4">
        <v>44625</v>
      </c>
      <c r="B775" s="38">
        <v>7</v>
      </c>
      <c r="D775" s="7">
        <v>0</v>
      </c>
      <c r="E775" s="41">
        <v>28</v>
      </c>
      <c r="J775" s="21">
        <v>52</v>
      </c>
      <c r="K775" s="23">
        <v>12</v>
      </c>
      <c r="P775" s="1">
        <v>1</v>
      </c>
      <c r="Q775" s="7">
        <v>0</v>
      </c>
      <c r="T775" s="21">
        <v>14</v>
      </c>
      <c r="V775" s="24">
        <v>59</v>
      </c>
      <c r="W775" s="7"/>
      <c r="Z775" s="42">
        <v>9</v>
      </c>
      <c r="AB775" s="21">
        <v>88</v>
      </c>
      <c r="AD775" s="52">
        <v>2</v>
      </c>
      <c r="AE775" s="19"/>
      <c r="AH775" s="23">
        <v>21</v>
      </c>
      <c r="AI775" s="39">
        <v>3</v>
      </c>
      <c r="AN775" s="1">
        <v>102</v>
      </c>
      <c r="AP775" s="1">
        <v>50</v>
      </c>
      <c r="AQ775" s="1">
        <v>93</v>
      </c>
      <c r="AU775" s="1">
        <v>73</v>
      </c>
      <c r="AV775" s="1">
        <v>71</v>
      </c>
      <c r="AZ775" s="1">
        <v>80</v>
      </c>
      <c r="BA775" s="1">
        <v>91</v>
      </c>
      <c r="BC775" s="1">
        <v>76</v>
      </c>
      <c r="BE775" s="1">
        <v>84</v>
      </c>
      <c r="BH775" s="1">
        <v>45</v>
      </c>
      <c r="BJ775" s="1">
        <v>69</v>
      </c>
      <c r="BL775" s="1">
        <v>24</v>
      </c>
      <c r="BO775" s="1">
        <v>83</v>
      </c>
      <c r="BP775" s="1">
        <v>82</v>
      </c>
    </row>
    <row r="776" spans="1:98" x14ac:dyDescent="0.25">
      <c r="A776" s="4">
        <v>44626</v>
      </c>
      <c r="B776" s="38">
        <v>6</v>
      </c>
      <c r="D776" s="7">
        <v>0</v>
      </c>
      <c r="E776" s="41">
        <v>48</v>
      </c>
      <c r="J776" s="21">
        <v>173</v>
      </c>
      <c r="K776" s="23">
        <v>11</v>
      </c>
      <c r="N776" s="8">
        <v>12</v>
      </c>
      <c r="P776" s="1">
        <v>0</v>
      </c>
      <c r="Q776" s="7">
        <v>0</v>
      </c>
      <c r="T776" s="21">
        <v>10</v>
      </c>
      <c r="V776" s="24">
        <v>64</v>
      </c>
      <c r="W776" s="47">
        <v>3</v>
      </c>
      <c r="Z776" s="42">
        <v>7</v>
      </c>
      <c r="AB776" s="21">
        <v>163</v>
      </c>
      <c r="AD776" s="52">
        <v>0</v>
      </c>
      <c r="AE776" s="19"/>
      <c r="AH776" s="23">
        <v>22</v>
      </c>
      <c r="AI776" s="39">
        <v>1</v>
      </c>
      <c r="AN776" s="1">
        <v>102</v>
      </c>
      <c r="AP776" s="1">
        <v>50</v>
      </c>
      <c r="AQ776" s="1">
        <v>93</v>
      </c>
      <c r="AU776" s="1">
        <v>73</v>
      </c>
      <c r="AV776" s="1">
        <v>71</v>
      </c>
      <c r="AX776" s="1">
        <v>31</v>
      </c>
      <c r="AZ776" s="1">
        <v>80</v>
      </c>
      <c r="BA776" s="1">
        <v>91</v>
      </c>
      <c r="BC776" s="1">
        <v>76</v>
      </c>
      <c r="BE776" s="1">
        <v>84</v>
      </c>
      <c r="BF776" s="1">
        <v>77</v>
      </c>
      <c r="BH776" s="1">
        <v>45</v>
      </c>
      <c r="BJ776" s="1">
        <v>69</v>
      </c>
      <c r="BL776" s="1">
        <v>24</v>
      </c>
      <c r="BO776" s="1">
        <v>83</v>
      </c>
      <c r="BP776" s="1">
        <v>82</v>
      </c>
    </row>
    <row r="777" spans="1:98" x14ac:dyDescent="0.25">
      <c r="A777" s="4">
        <v>44627</v>
      </c>
      <c r="B777" s="38">
        <v>15</v>
      </c>
      <c r="C777" s="28">
        <v>1</v>
      </c>
      <c r="D777" s="39">
        <v>3</v>
      </c>
      <c r="E777" s="41">
        <v>55</v>
      </c>
      <c r="J777" s="21">
        <v>116</v>
      </c>
      <c r="K777" s="23">
        <v>3</v>
      </c>
      <c r="N777" s="8">
        <v>11</v>
      </c>
      <c r="P777" s="1">
        <v>0</v>
      </c>
      <c r="Q777" s="7">
        <v>0</v>
      </c>
      <c r="T777" s="21">
        <v>4</v>
      </c>
      <c r="V777" s="24">
        <v>72</v>
      </c>
      <c r="W777" s="47">
        <v>8</v>
      </c>
      <c r="Z777" s="42">
        <v>2</v>
      </c>
      <c r="AB777" s="21">
        <v>175</v>
      </c>
      <c r="AD777" s="52">
        <v>5</v>
      </c>
      <c r="AE777" s="19"/>
      <c r="AH777" s="23">
        <v>23</v>
      </c>
      <c r="AI777" s="39">
        <v>4</v>
      </c>
      <c r="AN777" s="1">
        <v>102</v>
      </c>
      <c r="AO777" s="1">
        <v>23</v>
      </c>
      <c r="AP777" s="1">
        <v>50</v>
      </c>
      <c r="AQ777" s="1">
        <v>93</v>
      </c>
      <c r="AU777" s="1">
        <v>73</v>
      </c>
      <c r="AV777" s="1">
        <v>71</v>
      </c>
      <c r="AX777" s="1">
        <v>31</v>
      </c>
      <c r="AZ777" s="1">
        <v>80</v>
      </c>
      <c r="BA777" s="1">
        <v>91</v>
      </c>
      <c r="BC777" s="1">
        <v>76</v>
      </c>
      <c r="BE777" s="1">
        <v>84</v>
      </c>
      <c r="BF777" s="1">
        <v>77</v>
      </c>
      <c r="BH777" s="1">
        <v>45</v>
      </c>
      <c r="BJ777" s="1">
        <v>69</v>
      </c>
      <c r="BL777" s="1">
        <v>24</v>
      </c>
      <c r="BO777" s="1">
        <v>83</v>
      </c>
      <c r="BP777" s="1">
        <v>82</v>
      </c>
    </row>
    <row r="778" spans="1:98" x14ac:dyDescent="0.25">
      <c r="A778" s="4">
        <v>44628</v>
      </c>
      <c r="B778" s="38">
        <v>15</v>
      </c>
      <c r="C778" s="28">
        <v>6</v>
      </c>
      <c r="D778" s="39">
        <v>12</v>
      </c>
      <c r="E778" s="41">
        <v>65</v>
      </c>
      <c r="F778" s="42">
        <v>1</v>
      </c>
      <c r="G778" s="7"/>
      <c r="H778" s="27">
        <v>1</v>
      </c>
      <c r="J778" s="21">
        <v>26</v>
      </c>
      <c r="K778" s="23">
        <v>4</v>
      </c>
      <c r="N778" s="8">
        <v>1</v>
      </c>
      <c r="P778" s="1">
        <v>0</v>
      </c>
      <c r="Q778" s="8">
        <v>15</v>
      </c>
      <c r="T778" s="21">
        <v>11</v>
      </c>
      <c r="V778" s="24">
        <v>174</v>
      </c>
      <c r="W778" s="47">
        <v>2</v>
      </c>
      <c r="Z778" s="42">
        <v>4</v>
      </c>
      <c r="AB778" s="21">
        <v>156</v>
      </c>
      <c r="AD778" s="52">
        <v>17</v>
      </c>
      <c r="AE778" s="19"/>
      <c r="AH778" s="23">
        <v>28</v>
      </c>
      <c r="AI778" s="39">
        <v>1</v>
      </c>
      <c r="AN778" s="1">
        <v>102</v>
      </c>
      <c r="AO778" s="1">
        <v>23</v>
      </c>
      <c r="AP778" s="1">
        <v>50</v>
      </c>
      <c r="AQ778" s="1">
        <v>93</v>
      </c>
      <c r="AR778" s="1">
        <v>15</v>
      </c>
      <c r="AS778" s="1">
        <v>57</v>
      </c>
      <c r="AU778" s="1">
        <v>73</v>
      </c>
      <c r="AV778" s="1">
        <v>71</v>
      </c>
      <c r="AX778" s="1">
        <v>31</v>
      </c>
      <c r="AZ778" s="1">
        <v>80</v>
      </c>
      <c r="BA778" s="1">
        <v>91</v>
      </c>
      <c r="BC778" s="1">
        <v>76</v>
      </c>
      <c r="BE778" s="1">
        <v>84</v>
      </c>
      <c r="BF778" s="1">
        <v>77</v>
      </c>
      <c r="BH778" s="1">
        <v>45</v>
      </c>
      <c r="BJ778" s="1">
        <v>69</v>
      </c>
      <c r="BL778" s="1">
        <v>24</v>
      </c>
      <c r="BO778" s="1">
        <v>83</v>
      </c>
      <c r="BP778" s="1">
        <v>82</v>
      </c>
    </row>
    <row r="779" spans="1:98" x14ac:dyDescent="0.25">
      <c r="A779" s="4">
        <v>44629</v>
      </c>
      <c r="B779" s="38">
        <v>18</v>
      </c>
      <c r="C779" s="28">
        <v>5</v>
      </c>
      <c r="D779" s="39">
        <v>21</v>
      </c>
      <c r="E779" s="41">
        <v>80</v>
      </c>
      <c r="F779" s="13">
        <v>0</v>
      </c>
      <c r="H779" s="27">
        <v>2</v>
      </c>
      <c r="J779" s="21">
        <v>22</v>
      </c>
      <c r="K779" s="23">
        <v>1</v>
      </c>
      <c r="N779" s="8">
        <v>77</v>
      </c>
      <c r="P779" s="1">
        <v>4</v>
      </c>
      <c r="Q779" s="8">
        <v>9</v>
      </c>
      <c r="T779" s="21">
        <v>15</v>
      </c>
      <c r="V779" s="24">
        <v>343</v>
      </c>
      <c r="W779" s="47">
        <v>3</v>
      </c>
      <c r="Z779" s="42">
        <v>3</v>
      </c>
      <c r="AB779" s="21">
        <v>175</v>
      </c>
      <c r="AD779" s="52">
        <v>21</v>
      </c>
      <c r="AE779" s="19"/>
      <c r="AH779" s="23">
        <v>24</v>
      </c>
      <c r="AI779" s="39">
        <v>3</v>
      </c>
      <c r="AN779" s="1">
        <v>102</v>
      </c>
      <c r="AO779" s="1">
        <v>23</v>
      </c>
      <c r="AP779" s="1">
        <v>50</v>
      </c>
      <c r="AQ779" s="1">
        <v>93</v>
      </c>
      <c r="AR779" s="1">
        <v>15</v>
      </c>
      <c r="AS779" s="1">
        <v>57</v>
      </c>
      <c r="AU779" s="1">
        <v>73</v>
      </c>
      <c r="AV779" s="1">
        <v>71</v>
      </c>
      <c r="AX779" s="1">
        <v>31</v>
      </c>
      <c r="AZ779" s="1">
        <v>80</v>
      </c>
      <c r="BA779" s="1">
        <v>91</v>
      </c>
      <c r="BC779" s="1">
        <v>76</v>
      </c>
      <c r="BE779" s="1">
        <v>84</v>
      </c>
      <c r="BF779" s="1">
        <v>77</v>
      </c>
      <c r="BH779" s="1">
        <v>45</v>
      </c>
      <c r="BJ779" s="1">
        <v>69</v>
      </c>
      <c r="BL779" s="1">
        <v>24</v>
      </c>
      <c r="BO779" s="1">
        <v>83</v>
      </c>
      <c r="BP779" s="1">
        <v>82</v>
      </c>
      <c r="CC779" s="1">
        <v>77</v>
      </c>
    </row>
    <row r="780" spans="1:98" x14ac:dyDescent="0.25">
      <c r="A780" s="4">
        <v>44630</v>
      </c>
      <c r="B780" s="38">
        <v>48</v>
      </c>
      <c r="C780" s="28">
        <v>6</v>
      </c>
      <c r="D780" s="39">
        <v>18</v>
      </c>
      <c r="E780" s="41">
        <v>75</v>
      </c>
      <c r="F780" s="13">
        <v>0</v>
      </c>
      <c r="H780" s="26">
        <v>0</v>
      </c>
      <c r="J780" s="21">
        <v>177</v>
      </c>
      <c r="K780" s="24">
        <v>6</v>
      </c>
      <c r="N780" s="8">
        <v>28</v>
      </c>
      <c r="P780" s="1">
        <v>1</v>
      </c>
      <c r="Q780" s="8">
        <v>10</v>
      </c>
      <c r="T780" s="21">
        <v>32</v>
      </c>
      <c r="V780" s="24">
        <v>242</v>
      </c>
      <c r="W780" s="47">
        <v>3</v>
      </c>
      <c r="Z780" s="42">
        <v>2</v>
      </c>
      <c r="AB780" s="21">
        <v>366</v>
      </c>
      <c r="AD780" s="52">
        <v>18</v>
      </c>
      <c r="AE780" s="19"/>
      <c r="AH780" s="23">
        <v>30</v>
      </c>
      <c r="AI780" s="39">
        <v>16</v>
      </c>
      <c r="AN780" s="1">
        <v>102</v>
      </c>
      <c r="AO780" s="1">
        <v>23</v>
      </c>
      <c r="AP780" s="1">
        <v>50</v>
      </c>
      <c r="AQ780" s="1">
        <v>93</v>
      </c>
      <c r="AR780" s="1">
        <v>15</v>
      </c>
      <c r="AS780" s="1">
        <v>57</v>
      </c>
      <c r="AU780" s="1">
        <v>73</v>
      </c>
      <c r="AV780" s="1">
        <v>71</v>
      </c>
      <c r="AX780" s="1">
        <v>31</v>
      </c>
      <c r="AZ780" s="1">
        <v>80</v>
      </c>
      <c r="BA780" s="1">
        <v>91</v>
      </c>
      <c r="BC780" s="1">
        <v>76</v>
      </c>
      <c r="BE780" s="1">
        <v>84</v>
      </c>
      <c r="BF780" s="1">
        <v>77</v>
      </c>
      <c r="BH780" s="1">
        <v>45</v>
      </c>
      <c r="BJ780" s="1">
        <v>69</v>
      </c>
      <c r="BL780" s="1">
        <v>24</v>
      </c>
      <c r="BO780" s="1">
        <v>83</v>
      </c>
      <c r="BP780" s="1">
        <v>82</v>
      </c>
    </row>
    <row r="781" spans="1:98" x14ac:dyDescent="0.25">
      <c r="A781" s="4">
        <v>44631</v>
      </c>
      <c r="B781" s="38">
        <v>33</v>
      </c>
      <c r="C781" s="28">
        <v>1</v>
      </c>
      <c r="D781" s="39">
        <v>41</v>
      </c>
      <c r="E781" s="41">
        <v>83</v>
      </c>
      <c r="F781" s="13">
        <v>0</v>
      </c>
      <c r="H781" s="26">
        <v>0</v>
      </c>
      <c r="I781" s="28">
        <v>2</v>
      </c>
      <c r="J781" s="21">
        <v>224</v>
      </c>
      <c r="K781" s="24">
        <v>5</v>
      </c>
      <c r="N781" s="8">
        <v>43</v>
      </c>
      <c r="P781" s="1">
        <v>1</v>
      </c>
      <c r="Q781" s="8">
        <v>3</v>
      </c>
      <c r="T781" s="21">
        <v>44</v>
      </c>
      <c r="V781" s="24">
        <v>400</v>
      </c>
      <c r="W781" s="47">
        <v>2</v>
      </c>
      <c r="Z781" s="42">
        <v>1</v>
      </c>
      <c r="AB781" s="21">
        <v>555</v>
      </c>
      <c r="AD781" s="52">
        <v>30</v>
      </c>
      <c r="AE781" s="19"/>
      <c r="AH781" s="23">
        <v>23</v>
      </c>
      <c r="AI781" s="39">
        <v>25</v>
      </c>
      <c r="AN781" s="1">
        <v>102</v>
      </c>
      <c r="AO781" s="1">
        <v>23</v>
      </c>
      <c r="AP781" s="1">
        <v>50</v>
      </c>
      <c r="AQ781" s="1">
        <v>93</v>
      </c>
      <c r="AR781" s="1">
        <v>15</v>
      </c>
      <c r="AS781" s="1">
        <v>57</v>
      </c>
      <c r="AU781" s="1">
        <v>73</v>
      </c>
      <c r="AV781" s="1">
        <v>71</v>
      </c>
      <c r="AX781" s="1">
        <v>31</v>
      </c>
      <c r="AZ781" s="1">
        <v>80</v>
      </c>
      <c r="BA781" s="1">
        <v>91</v>
      </c>
      <c r="BC781" s="1">
        <v>76</v>
      </c>
      <c r="BE781" s="1">
        <v>84</v>
      </c>
      <c r="BF781" s="1">
        <v>77</v>
      </c>
      <c r="BH781" s="1">
        <v>45</v>
      </c>
      <c r="BJ781" s="1">
        <v>69</v>
      </c>
      <c r="BL781" s="1">
        <v>24</v>
      </c>
      <c r="BO781" s="1">
        <v>83</v>
      </c>
      <c r="BP781" s="1">
        <v>82</v>
      </c>
      <c r="CO781" s="1">
        <v>555</v>
      </c>
    </row>
    <row r="782" spans="1:98" x14ac:dyDescent="0.25">
      <c r="A782" s="4">
        <v>44632</v>
      </c>
      <c r="B782" s="38">
        <v>42</v>
      </c>
      <c r="C782" s="28">
        <v>6</v>
      </c>
      <c r="D782" s="39">
        <v>26</v>
      </c>
      <c r="E782" s="41">
        <v>65</v>
      </c>
      <c r="F782" s="42">
        <v>9</v>
      </c>
      <c r="G782" s="7"/>
      <c r="H782" s="26">
        <v>0</v>
      </c>
      <c r="I782" s="28">
        <v>0</v>
      </c>
      <c r="J782" s="21">
        <v>256</v>
      </c>
      <c r="K782" s="24">
        <v>9</v>
      </c>
      <c r="N782" s="8">
        <v>41</v>
      </c>
      <c r="P782" s="1">
        <v>0</v>
      </c>
      <c r="Q782" s="8">
        <v>3</v>
      </c>
      <c r="R782" s="5">
        <v>1</v>
      </c>
      <c r="T782" s="21">
        <v>73</v>
      </c>
      <c r="V782" s="24">
        <v>2156</v>
      </c>
      <c r="W782" s="47">
        <v>3</v>
      </c>
      <c r="Z782" s="42">
        <v>1</v>
      </c>
      <c r="AB782" s="21">
        <v>236</v>
      </c>
      <c r="AD782" s="52">
        <v>43</v>
      </c>
      <c r="AE782" s="19"/>
      <c r="AH782" s="23">
        <v>22</v>
      </c>
      <c r="AI782" s="39">
        <v>15</v>
      </c>
      <c r="AN782" s="1">
        <v>102</v>
      </c>
      <c r="AO782" s="1">
        <v>23</v>
      </c>
      <c r="AP782" s="1">
        <v>50</v>
      </c>
      <c r="AQ782" s="1">
        <v>93</v>
      </c>
      <c r="AR782" s="1">
        <v>15</v>
      </c>
      <c r="AS782" s="1">
        <v>57</v>
      </c>
      <c r="AT782" s="1">
        <v>43</v>
      </c>
      <c r="AU782" s="1">
        <v>73</v>
      </c>
      <c r="AV782" s="1">
        <v>71</v>
      </c>
      <c r="AX782" s="1">
        <v>31</v>
      </c>
      <c r="AZ782" s="1">
        <v>80</v>
      </c>
      <c r="BA782" s="1">
        <v>91</v>
      </c>
      <c r="BB782" s="1">
        <v>27</v>
      </c>
      <c r="BC782" s="1">
        <v>76</v>
      </c>
      <c r="BE782" s="1">
        <v>84</v>
      </c>
      <c r="BF782" s="1">
        <v>77</v>
      </c>
      <c r="BH782" s="1">
        <v>45</v>
      </c>
      <c r="BJ782" s="1">
        <v>69</v>
      </c>
      <c r="BL782" s="1">
        <v>24</v>
      </c>
      <c r="BO782" s="1">
        <v>83</v>
      </c>
      <c r="BP782" s="1">
        <v>82</v>
      </c>
      <c r="BZ782" s="1">
        <v>256</v>
      </c>
    </row>
    <row r="783" spans="1:98" x14ac:dyDescent="0.25">
      <c r="A783" s="4">
        <v>44633</v>
      </c>
      <c r="B783" s="38">
        <v>38</v>
      </c>
      <c r="C783" s="28">
        <v>8</v>
      </c>
      <c r="D783" s="39">
        <v>50</v>
      </c>
      <c r="E783" s="41">
        <v>167</v>
      </c>
      <c r="F783" s="42">
        <v>7</v>
      </c>
      <c r="G783" s="7"/>
      <c r="H783" s="27">
        <v>1</v>
      </c>
      <c r="I783" s="28">
        <v>10</v>
      </c>
      <c r="J783" s="21">
        <v>229</v>
      </c>
      <c r="K783" s="24">
        <v>17</v>
      </c>
      <c r="N783" s="8">
        <v>27</v>
      </c>
      <c r="P783" s="1">
        <v>0</v>
      </c>
      <c r="Q783" s="8">
        <v>17</v>
      </c>
      <c r="R783" s="5">
        <v>0</v>
      </c>
      <c r="T783" s="21">
        <v>213</v>
      </c>
      <c r="U783" s="14">
        <v>4</v>
      </c>
      <c r="V783" s="24">
        <v>985</v>
      </c>
      <c r="W783" s="47">
        <v>9</v>
      </c>
      <c r="Z783" s="7">
        <v>0</v>
      </c>
      <c r="AB783" s="21">
        <v>163</v>
      </c>
      <c r="AD783" s="52">
        <v>60</v>
      </c>
      <c r="AE783" s="19"/>
      <c r="AH783" s="23">
        <v>39</v>
      </c>
      <c r="AI783" s="39">
        <v>8</v>
      </c>
      <c r="AN783" s="1">
        <v>102</v>
      </c>
      <c r="AO783" s="1">
        <v>23</v>
      </c>
      <c r="AP783" s="1">
        <v>50</v>
      </c>
      <c r="AQ783" s="1">
        <v>93</v>
      </c>
      <c r="AR783" s="1">
        <v>15</v>
      </c>
      <c r="AS783" s="1">
        <v>57</v>
      </c>
      <c r="AT783" s="1">
        <v>43</v>
      </c>
      <c r="AU783" s="1">
        <v>73</v>
      </c>
      <c r="AV783" s="1">
        <v>71</v>
      </c>
      <c r="AX783" s="1">
        <v>31</v>
      </c>
      <c r="AZ783" s="1">
        <v>80</v>
      </c>
      <c r="BA783" s="1">
        <v>91</v>
      </c>
      <c r="BB783" s="1">
        <v>27</v>
      </c>
      <c r="BC783" s="1">
        <v>76</v>
      </c>
      <c r="BD783" s="1">
        <v>63</v>
      </c>
      <c r="BE783" s="1">
        <v>84</v>
      </c>
      <c r="BF783" s="1">
        <v>77</v>
      </c>
      <c r="BH783" s="1">
        <v>45</v>
      </c>
      <c r="BJ783" s="1">
        <v>69</v>
      </c>
      <c r="BL783" s="1">
        <v>24</v>
      </c>
      <c r="BO783" s="1">
        <v>83</v>
      </c>
      <c r="BP783" s="1">
        <v>82</v>
      </c>
      <c r="CQ783" s="1">
        <v>60</v>
      </c>
      <c r="CT783" s="1">
        <v>39</v>
      </c>
    </row>
    <row r="784" spans="1:98" x14ac:dyDescent="0.25">
      <c r="A784" s="4">
        <v>44634</v>
      </c>
      <c r="B784" s="38">
        <v>46</v>
      </c>
      <c r="C784" s="28">
        <v>6</v>
      </c>
      <c r="D784" s="39">
        <v>47</v>
      </c>
      <c r="E784" s="41">
        <v>139</v>
      </c>
      <c r="F784" s="42">
        <v>12</v>
      </c>
      <c r="G784" s="7"/>
      <c r="H784" s="27">
        <v>12</v>
      </c>
      <c r="I784" s="28">
        <v>63</v>
      </c>
      <c r="J784" s="21">
        <v>116</v>
      </c>
      <c r="K784" s="24">
        <v>23</v>
      </c>
      <c r="N784" s="8">
        <v>25</v>
      </c>
      <c r="P784" s="7">
        <v>1</v>
      </c>
      <c r="Q784" s="8">
        <v>15</v>
      </c>
      <c r="R784" s="8">
        <v>1</v>
      </c>
      <c r="S784" s="19"/>
      <c r="T784" s="21">
        <v>198</v>
      </c>
      <c r="U784" s="14">
        <v>1</v>
      </c>
      <c r="V784" s="24">
        <v>4048</v>
      </c>
      <c r="W784" s="47">
        <v>33</v>
      </c>
      <c r="Z784" s="7">
        <v>0</v>
      </c>
      <c r="AB784" s="21">
        <v>170</v>
      </c>
      <c r="AD784" s="52">
        <v>53</v>
      </c>
      <c r="AE784" s="19"/>
      <c r="AH784" s="23">
        <v>28</v>
      </c>
      <c r="AI784" s="39">
        <v>38</v>
      </c>
      <c r="AN784" s="1">
        <v>102</v>
      </c>
      <c r="AO784" s="1">
        <v>23</v>
      </c>
      <c r="AP784" s="1">
        <v>50</v>
      </c>
      <c r="AQ784" s="1">
        <v>93</v>
      </c>
      <c r="AR784" s="1">
        <v>15</v>
      </c>
      <c r="AS784" s="1">
        <v>57</v>
      </c>
      <c r="AT784" s="1">
        <v>43</v>
      </c>
      <c r="AU784" s="1">
        <v>73</v>
      </c>
      <c r="AV784" s="1">
        <v>71</v>
      </c>
      <c r="AX784" s="1">
        <v>31</v>
      </c>
      <c r="AZ784" s="1">
        <v>80</v>
      </c>
      <c r="BA784" s="1">
        <v>91</v>
      </c>
      <c r="BB784" s="1">
        <v>27</v>
      </c>
      <c r="BC784" s="1">
        <v>76</v>
      </c>
      <c r="BD784" s="1">
        <v>63</v>
      </c>
      <c r="BE784" s="1">
        <v>84</v>
      </c>
      <c r="BF784" s="1">
        <v>77</v>
      </c>
      <c r="BH784" s="1">
        <v>45</v>
      </c>
      <c r="BJ784" s="1">
        <v>69</v>
      </c>
      <c r="BL784" s="1">
        <v>24</v>
      </c>
      <c r="BO784" s="1">
        <v>83</v>
      </c>
      <c r="BP784" s="1">
        <v>82</v>
      </c>
    </row>
    <row r="785" spans="1:89" x14ac:dyDescent="0.25">
      <c r="A785" s="4">
        <v>44635</v>
      </c>
      <c r="B785" s="38">
        <v>72</v>
      </c>
      <c r="C785" s="28">
        <v>10</v>
      </c>
      <c r="D785" s="39">
        <v>64</v>
      </c>
      <c r="E785" s="41">
        <v>202</v>
      </c>
      <c r="F785" s="42">
        <v>12</v>
      </c>
      <c r="G785" s="7"/>
      <c r="H785" s="27">
        <v>7</v>
      </c>
      <c r="I785" s="28">
        <v>36</v>
      </c>
      <c r="J785" s="21">
        <v>112</v>
      </c>
      <c r="K785" s="24">
        <v>25</v>
      </c>
      <c r="N785" s="8">
        <v>20</v>
      </c>
      <c r="P785" s="1">
        <v>0</v>
      </c>
      <c r="Q785" s="8">
        <v>26</v>
      </c>
      <c r="R785" s="5">
        <v>1</v>
      </c>
      <c r="T785" s="21">
        <v>277</v>
      </c>
      <c r="U785" s="14">
        <v>3</v>
      </c>
      <c r="V785" s="24">
        <v>1832</v>
      </c>
      <c r="W785" s="47">
        <v>44</v>
      </c>
      <c r="Z785" s="19">
        <v>1</v>
      </c>
      <c r="AB785" s="21">
        <v>159</v>
      </c>
      <c r="AD785" s="52">
        <v>28</v>
      </c>
      <c r="AE785" s="19"/>
      <c r="AH785" s="23">
        <v>38</v>
      </c>
      <c r="AI785" s="39">
        <v>29</v>
      </c>
      <c r="AN785" s="1">
        <v>102</v>
      </c>
      <c r="AO785" s="1">
        <v>23</v>
      </c>
      <c r="AP785" s="1">
        <v>50</v>
      </c>
      <c r="AQ785" s="1">
        <v>93</v>
      </c>
      <c r="AR785" s="1">
        <v>15</v>
      </c>
      <c r="AS785" s="1">
        <v>57</v>
      </c>
      <c r="AT785" s="1">
        <v>43</v>
      </c>
      <c r="AU785" s="1">
        <v>73</v>
      </c>
      <c r="AV785" s="1">
        <v>71</v>
      </c>
      <c r="AX785" s="1">
        <v>31</v>
      </c>
      <c r="AZ785" s="1">
        <v>80</v>
      </c>
      <c r="BA785" s="1">
        <v>91</v>
      </c>
      <c r="BB785" s="1">
        <v>27</v>
      </c>
      <c r="BC785" s="1">
        <v>76</v>
      </c>
      <c r="BD785" s="1">
        <v>63</v>
      </c>
      <c r="BE785" s="1">
        <v>84</v>
      </c>
      <c r="BF785" s="1">
        <v>77</v>
      </c>
      <c r="BH785" s="1">
        <v>45</v>
      </c>
      <c r="BJ785" s="1">
        <v>69</v>
      </c>
      <c r="BL785" s="1">
        <v>24</v>
      </c>
      <c r="BO785" s="1">
        <v>83</v>
      </c>
      <c r="BP785" s="1">
        <v>82</v>
      </c>
      <c r="BT785" s="1">
        <v>10</v>
      </c>
    </row>
    <row r="786" spans="1:89" x14ac:dyDescent="0.25">
      <c r="A786" s="4">
        <v>44636</v>
      </c>
      <c r="B786" s="38">
        <v>72</v>
      </c>
      <c r="C786" s="28">
        <v>4</v>
      </c>
      <c r="D786" s="39">
        <v>50</v>
      </c>
      <c r="E786" s="41">
        <v>157</v>
      </c>
      <c r="F786" s="42">
        <v>5</v>
      </c>
      <c r="G786" s="7"/>
      <c r="H786" s="27">
        <v>11</v>
      </c>
      <c r="I786" s="28">
        <v>141</v>
      </c>
      <c r="J786" s="21">
        <v>153</v>
      </c>
      <c r="K786" s="24">
        <v>30</v>
      </c>
      <c r="N786" s="8">
        <v>20</v>
      </c>
      <c r="P786" s="1">
        <v>0</v>
      </c>
      <c r="Q786" s="8">
        <v>29</v>
      </c>
      <c r="R786" s="5">
        <v>0</v>
      </c>
      <c r="T786" s="21">
        <v>216</v>
      </c>
      <c r="U786" s="14">
        <v>1</v>
      </c>
      <c r="V786" s="24">
        <v>1146</v>
      </c>
      <c r="W786" s="47">
        <v>156</v>
      </c>
      <c r="Z786" s="19">
        <v>4</v>
      </c>
      <c r="AB786" s="21">
        <v>122</v>
      </c>
      <c r="AD786" s="52">
        <v>26</v>
      </c>
      <c r="AE786" s="19"/>
      <c r="AH786" s="23">
        <v>29</v>
      </c>
      <c r="AI786" s="39">
        <v>31</v>
      </c>
      <c r="AN786" s="1">
        <v>102</v>
      </c>
      <c r="AO786" s="1">
        <v>23</v>
      </c>
      <c r="AP786" s="1">
        <v>50</v>
      </c>
      <c r="AQ786" s="1">
        <v>93</v>
      </c>
      <c r="AR786" s="1">
        <v>15</v>
      </c>
      <c r="AS786" s="1">
        <v>57</v>
      </c>
      <c r="AT786" s="1">
        <v>43</v>
      </c>
      <c r="AU786" s="1">
        <v>73</v>
      </c>
      <c r="AV786" s="1">
        <v>71</v>
      </c>
      <c r="AX786" s="1">
        <v>31</v>
      </c>
      <c r="AZ786" s="1">
        <v>80</v>
      </c>
      <c r="BA786" s="1">
        <v>91</v>
      </c>
      <c r="BB786" s="1">
        <v>27</v>
      </c>
      <c r="BC786" s="1">
        <v>76</v>
      </c>
      <c r="BD786" s="1">
        <v>63</v>
      </c>
      <c r="BE786" s="1">
        <v>84</v>
      </c>
      <c r="BF786" s="1">
        <v>77</v>
      </c>
      <c r="BH786" s="1">
        <v>45</v>
      </c>
      <c r="BJ786" s="1">
        <v>69</v>
      </c>
      <c r="BL786" s="1">
        <v>24</v>
      </c>
      <c r="BO786" s="1">
        <v>83</v>
      </c>
      <c r="BP786" s="1">
        <v>82</v>
      </c>
    </row>
    <row r="787" spans="1:89" x14ac:dyDescent="0.25">
      <c r="A787" s="4">
        <v>44637</v>
      </c>
      <c r="B787" s="38">
        <v>51</v>
      </c>
      <c r="C787" s="28">
        <v>8</v>
      </c>
      <c r="D787" s="39">
        <v>58</v>
      </c>
      <c r="E787" s="41">
        <v>260</v>
      </c>
      <c r="F787" s="42">
        <v>16</v>
      </c>
      <c r="G787" s="7"/>
      <c r="H787" s="27">
        <v>4</v>
      </c>
      <c r="I787" s="28">
        <v>190</v>
      </c>
      <c r="J787" s="21">
        <v>132</v>
      </c>
      <c r="K787" s="24">
        <v>22</v>
      </c>
      <c r="N787" s="8">
        <v>25</v>
      </c>
      <c r="P787" s="8">
        <v>1</v>
      </c>
      <c r="Q787" s="8">
        <v>51</v>
      </c>
      <c r="R787" s="8">
        <v>2</v>
      </c>
      <c r="S787" s="19"/>
      <c r="T787" s="21">
        <v>217</v>
      </c>
      <c r="U787" s="14">
        <v>7</v>
      </c>
      <c r="V787" s="24">
        <v>2626</v>
      </c>
      <c r="W787" s="47">
        <v>125</v>
      </c>
      <c r="Z787" s="18">
        <v>7</v>
      </c>
      <c r="AB787" s="21">
        <v>220</v>
      </c>
      <c r="AD787" s="52">
        <v>33</v>
      </c>
      <c r="AE787" s="19"/>
      <c r="AH787" s="23">
        <v>29</v>
      </c>
      <c r="AI787" s="39">
        <v>21</v>
      </c>
      <c r="AN787" s="1">
        <v>102</v>
      </c>
      <c r="AO787" s="1">
        <v>23</v>
      </c>
      <c r="AP787" s="1">
        <v>50</v>
      </c>
      <c r="AQ787" s="1">
        <v>93</v>
      </c>
      <c r="AR787" s="1">
        <v>15</v>
      </c>
      <c r="AS787" s="1">
        <v>57</v>
      </c>
      <c r="AT787" s="1">
        <v>43</v>
      </c>
      <c r="AU787" s="1">
        <v>73</v>
      </c>
      <c r="AV787" s="1">
        <v>71</v>
      </c>
      <c r="AX787" s="1">
        <v>31</v>
      </c>
      <c r="AZ787" s="1">
        <v>80</v>
      </c>
      <c r="BA787" s="1">
        <v>91</v>
      </c>
      <c r="BB787" s="1">
        <v>27</v>
      </c>
      <c r="BC787" s="1">
        <v>76</v>
      </c>
      <c r="BD787" s="1">
        <v>63</v>
      </c>
      <c r="BE787" s="1">
        <v>84</v>
      </c>
      <c r="BF787" s="1">
        <v>77</v>
      </c>
      <c r="BH787" s="1">
        <v>45</v>
      </c>
      <c r="BJ787" s="1">
        <v>69</v>
      </c>
      <c r="BL787" s="1">
        <v>24</v>
      </c>
      <c r="BO787" s="1">
        <v>83</v>
      </c>
      <c r="BP787" s="1">
        <v>82</v>
      </c>
      <c r="BW787" s="1">
        <v>16</v>
      </c>
    </row>
    <row r="788" spans="1:89" x14ac:dyDescent="0.25">
      <c r="A788" s="4">
        <v>44638</v>
      </c>
      <c r="B788" s="38">
        <v>37</v>
      </c>
      <c r="C788" s="28">
        <v>1</v>
      </c>
      <c r="D788" s="39">
        <v>25</v>
      </c>
      <c r="E788" s="41">
        <v>374</v>
      </c>
      <c r="F788" s="42">
        <v>3</v>
      </c>
      <c r="G788" s="7"/>
      <c r="H788" s="27">
        <v>15</v>
      </c>
      <c r="I788" s="29">
        <v>275</v>
      </c>
      <c r="J788" s="21">
        <v>94</v>
      </c>
      <c r="K788" s="24">
        <v>18</v>
      </c>
      <c r="N788" s="8">
        <v>23</v>
      </c>
      <c r="P788" s="8">
        <v>5</v>
      </c>
      <c r="Q788" s="8">
        <v>63</v>
      </c>
      <c r="R788" s="8">
        <v>7</v>
      </c>
      <c r="S788" s="19"/>
      <c r="T788" s="21">
        <v>269</v>
      </c>
      <c r="U788" s="14">
        <v>36</v>
      </c>
      <c r="V788" s="24">
        <v>2203</v>
      </c>
      <c r="W788" s="47">
        <v>128</v>
      </c>
      <c r="Z788" s="19">
        <v>6</v>
      </c>
      <c r="AB788" s="21">
        <v>198</v>
      </c>
      <c r="AD788" s="52">
        <v>11</v>
      </c>
      <c r="AE788" s="19"/>
      <c r="AH788" s="23">
        <v>29</v>
      </c>
      <c r="AI788" s="39">
        <v>21</v>
      </c>
      <c r="AN788" s="1">
        <v>102</v>
      </c>
      <c r="AO788" s="1">
        <v>23</v>
      </c>
      <c r="AP788" s="1">
        <v>50</v>
      </c>
      <c r="AQ788" s="1">
        <v>93</v>
      </c>
      <c r="AR788" s="1">
        <v>15</v>
      </c>
      <c r="AS788" s="1">
        <v>57</v>
      </c>
      <c r="AT788" s="1">
        <v>43</v>
      </c>
      <c r="AU788" s="1">
        <v>73</v>
      </c>
      <c r="AV788" s="1">
        <v>71</v>
      </c>
      <c r="AX788" s="1">
        <v>31</v>
      </c>
      <c r="AZ788" s="1">
        <v>80</v>
      </c>
      <c r="BA788" s="1">
        <v>91</v>
      </c>
      <c r="BB788" s="1">
        <v>27</v>
      </c>
      <c r="BC788" s="1">
        <v>76</v>
      </c>
      <c r="BD788" s="1">
        <v>63</v>
      </c>
      <c r="BE788" s="1">
        <v>84</v>
      </c>
      <c r="BF788" s="1">
        <v>77</v>
      </c>
      <c r="BH788" s="1">
        <v>45</v>
      </c>
      <c r="BJ788" s="1">
        <v>69</v>
      </c>
      <c r="BL788" s="1">
        <v>24</v>
      </c>
      <c r="BO788" s="1">
        <v>83</v>
      </c>
      <c r="BP788" s="1">
        <v>82</v>
      </c>
      <c r="BY788" s="1">
        <v>275</v>
      </c>
      <c r="CF788" s="1">
        <v>63</v>
      </c>
    </row>
    <row r="789" spans="1:89" x14ac:dyDescent="0.25">
      <c r="A789" s="4">
        <v>44639</v>
      </c>
      <c r="B789" s="38">
        <v>50</v>
      </c>
      <c r="C789" s="28">
        <v>1</v>
      </c>
      <c r="D789" s="39">
        <v>17</v>
      </c>
      <c r="E789" s="41">
        <v>503</v>
      </c>
      <c r="F789" s="42">
        <v>7</v>
      </c>
      <c r="G789" s="7"/>
      <c r="H789" s="27">
        <v>16</v>
      </c>
      <c r="I789" s="28">
        <v>263</v>
      </c>
      <c r="J789" s="21">
        <v>78</v>
      </c>
      <c r="K789" s="24">
        <v>24</v>
      </c>
      <c r="N789" s="8">
        <v>44</v>
      </c>
      <c r="P789" s="8">
        <v>2</v>
      </c>
      <c r="Q789" s="8">
        <v>23</v>
      </c>
      <c r="R789" s="8">
        <v>5</v>
      </c>
      <c r="S789" s="19"/>
      <c r="T789" s="21">
        <v>555</v>
      </c>
      <c r="U789" s="14">
        <v>31</v>
      </c>
      <c r="V789" s="24">
        <v>1475</v>
      </c>
      <c r="W789" s="47">
        <v>160</v>
      </c>
      <c r="Z789" s="19">
        <v>8</v>
      </c>
      <c r="AB789" s="21">
        <v>428</v>
      </c>
      <c r="AD789" s="52">
        <v>15</v>
      </c>
      <c r="AE789" s="19"/>
      <c r="AH789" s="23">
        <v>21</v>
      </c>
      <c r="AI789" s="39">
        <v>31</v>
      </c>
      <c r="AN789" s="1">
        <v>102</v>
      </c>
      <c r="AO789" s="1">
        <v>23</v>
      </c>
      <c r="AP789" s="1">
        <v>50</v>
      </c>
      <c r="AQ789" s="1">
        <v>93</v>
      </c>
      <c r="AR789" s="1">
        <v>15</v>
      </c>
      <c r="AS789" s="1">
        <v>57</v>
      </c>
      <c r="AT789" s="1">
        <v>43</v>
      </c>
      <c r="AU789" s="1">
        <v>73</v>
      </c>
      <c r="AV789" s="1">
        <v>71</v>
      </c>
      <c r="AX789" s="1">
        <v>31</v>
      </c>
      <c r="AZ789" s="1">
        <v>80</v>
      </c>
      <c r="BA789" s="1">
        <v>91</v>
      </c>
      <c r="BB789" s="1">
        <v>27</v>
      </c>
      <c r="BC789" s="1">
        <v>76</v>
      </c>
      <c r="BD789" s="1">
        <v>63</v>
      </c>
      <c r="BE789" s="1">
        <v>84</v>
      </c>
      <c r="BF789" s="1">
        <v>77</v>
      </c>
      <c r="BH789" s="1">
        <v>45</v>
      </c>
      <c r="BJ789" s="1">
        <v>69</v>
      </c>
      <c r="BL789" s="1">
        <v>24</v>
      </c>
      <c r="BO789" s="1">
        <v>83</v>
      </c>
      <c r="BP789" s="1">
        <v>82</v>
      </c>
      <c r="CH789" s="1">
        <v>555</v>
      </c>
    </row>
    <row r="790" spans="1:89" x14ac:dyDescent="0.25">
      <c r="A790" s="4">
        <v>44640</v>
      </c>
      <c r="B790" s="38">
        <v>58</v>
      </c>
      <c r="C790" s="28">
        <v>4</v>
      </c>
      <c r="D790" s="39">
        <v>19</v>
      </c>
      <c r="E790" s="41">
        <v>758</v>
      </c>
      <c r="F790" s="42">
        <v>2</v>
      </c>
      <c r="G790" s="7"/>
      <c r="H790" s="27">
        <v>10</v>
      </c>
      <c r="I790" s="28">
        <v>255</v>
      </c>
      <c r="J790" s="21">
        <v>51</v>
      </c>
      <c r="K790" s="24">
        <v>21</v>
      </c>
      <c r="N790" s="8">
        <v>32</v>
      </c>
      <c r="P790" s="8">
        <v>10</v>
      </c>
      <c r="Q790" s="8">
        <v>41</v>
      </c>
      <c r="R790" s="8">
        <v>10</v>
      </c>
      <c r="S790" s="19"/>
      <c r="T790" s="21">
        <v>407</v>
      </c>
      <c r="U790" s="14">
        <v>34</v>
      </c>
      <c r="V790" s="24">
        <v>2055</v>
      </c>
      <c r="W790" s="47">
        <v>144</v>
      </c>
      <c r="Z790" s="19">
        <v>7</v>
      </c>
      <c r="AB790" s="21">
        <v>297</v>
      </c>
      <c r="AD790" s="52">
        <v>14</v>
      </c>
      <c r="AE790" s="19"/>
      <c r="AH790" s="23">
        <v>29</v>
      </c>
      <c r="AI790" s="39">
        <v>18</v>
      </c>
      <c r="AN790" s="1">
        <v>102</v>
      </c>
      <c r="AO790" s="1">
        <v>23</v>
      </c>
      <c r="AP790" s="1">
        <v>50</v>
      </c>
      <c r="AQ790" s="1">
        <v>93</v>
      </c>
      <c r="AR790" s="1">
        <v>15</v>
      </c>
      <c r="AS790" s="1">
        <v>57</v>
      </c>
      <c r="AT790" s="1">
        <v>43</v>
      </c>
      <c r="AU790" s="1">
        <v>73</v>
      </c>
      <c r="AV790" s="1">
        <v>71</v>
      </c>
      <c r="AX790" s="1">
        <v>31</v>
      </c>
      <c r="AZ790" s="1">
        <v>80</v>
      </c>
      <c r="BA790" s="1">
        <v>91</v>
      </c>
      <c r="BB790" s="1">
        <v>27</v>
      </c>
      <c r="BC790" s="1">
        <v>76</v>
      </c>
      <c r="BD790" s="1">
        <v>63</v>
      </c>
      <c r="BE790" s="1">
        <v>84</v>
      </c>
      <c r="BF790" s="1">
        <v>77</v>
      </c>
      <c r="BH790" s="1">
        <v>45</v>
      </c>
      <c r="BJ790" s="1">
        <v>69</v>
      </c>
      <c r="BL790" s="1">
        <v>24</v>
      </c>
      <c r="BO790" s="1">
        <v>83</v>
      </c>
      <c r="BP790" s="1">
        <v>82</v>
      </c>
      <c r="CG790" s="1">
        <v>10</v>
      </c>
    </row>
    <row r="791" spans="1:89" x14ac:dyDescent="0.25">
      <c r="A791" s="4">
        <v>44641</v>
      </c>
      <c r="B791" s="38">
        <v>31</v>
      </c>
      <c r="C791" s="28">
        <v>6</v>
      </c>
      <c r="D791" s="39">
        <v>36</v>
      </c>
      <c r="E791" s="41">
        <v>895</v>
      </c>
      <c r="F791" s="42">
        <v>3</v>
      </c>
      <c r="G791" s="7"/>
      <c r="H791" s="27">
        <v>12</v>
      </c>
      <c r="I791" s="28">
        <v>215</v>
      </c>
      <c r="J791" s="21">
        <v>28</v>
      </c>
      <c r="K791" s="24">
        <v>18</v>
      </c>
      <c r="N791" s="8">
        <v>33</v>
      </c>
      <c r="P791" s="8">
        <v>6</v>
      </c>
      <c r="Q791" s="8">
        <v>55</v>
      </c>
      <c r="R791" s="8">
        <v>8</v>
      </c>
      <c r="S791" s="19"/>
      <c r="T791" s="21">
        <v>223</v>
      </c>
      <c r="U791" s="14">
        <v>48</v>
      </c>
      <c r="V791" s="24">
        <v>2432</v>
      </c>
      <c r="W791" s="47">
        <v>246</v>
      </c>
      <c r="Z791" s="19">
        <v>4</v>
      </c>
      <c r="AB791" s="21">
        <v>207</v>
      </c>
      <c r="AD791" s="52">
        <v>7</v>
      </c>
      <c r="AE791" s="19"/>
      <c r="AH791" s="23">
        <v>13</v>
      </c>
      <c r="AI791" s="39">
        <v>7</v>
      </c>
      <c r="AN791" s="1">
        <v>102</v>
      </c>
      <c r="AO791" s="1">
        <v>23</v>
      </c>
      <c r="AP791" s="1">
        <v>50</v>
      </c>
      <c r="AQ791" s="1">
        <v>93</v>
      </c>
      <c r="AR791" s="1">
        <v>15</v>
      </c>
      <c r="AS791" s="1">
        <v>57</v>
      </c>
      <c r="AT791" s="1">
        <v>43</v>
      </c>
      <c r="AU791" s="1">
        <v>73</v>
      </c>
      <c r="AV791" s="1">
        <v>71</v>
      </c>
      <c r="AX791" s="1">
        <v>31</v>
      </c>
      <c r="AZ791" s="1">
        <v>80</v>
      </c>
      <c r="BA791" s="1">
        <v>91</v>
      </c>
      <c r="BB791" s="1">
        <v>27</v>
      </c>
      <c r="BC791" s="1">
        <v>76</v>
      </c>
      <c r="BD791" s="1">
        <v>63</v>
      </c>
      <c r="BE791" s="1">
        <v>84</v>
      </c>
      <c r="BF791" s="1">
        <v>77</v>
      </c>
      <c r="BH791" s="1">
        <v>45</v>
      </c>
      <c r="BJ791" s="1">
        <v>69</v>
      </c>
      <c r="BL791" s="1">
        <v>24</v>
      </c>
      <c r="BO791" s="1">
        <v>83</v>
      </c>
      <c r="BP791" s="1">
        <v>82</v>
      </c>
    </row>
    <row r="792" spans="1:89" x14ac:dyDescent="0.25">
      <c r="A792" s="4">
        <v>44642</v>
      </c>
      <c r="B792" s="38">
        <v>24</v>
      </c>
      <c r="C792" s="28">
        <v>4</v>
      </c>
      <c r="D792" s="39">
        <v>47</v>
      </c>
      <c r="E792" s="41">
        <v>981</v>
      </c>
      <c r="F792" s="42">
        <v>1</v>
      </c>
      <c r="G792" s="7"/>
      <c r="H792" s="27">
        <v>11</v>
      </c>
      <c r="I792" s="28">
        <v>267</v>
      </c>
      <c r="J792" s="21">
        <v>26</v>
      </c>
      <c r="K792" s="24">
        <v>7</v>
      </c>
      <c r="N792" s="8">
        <v>43</v>
      </c>
      <c r="P792" s="8">
        <v>11</v>
      </c>
      <c r="Q792" s="8">
        <v>41</v>
      </c>
      <c r="R792" s="8">
        <v>2</v>
      </c>
      <c r="S792" s="19"/>
      <c r="T792" s="21">
        <v>192</v>
      </c>
      <c r="U792" s="21">
        <v>58</v>
      </c>
      <c r="V792" s="24">
        <v>2775</v>
      </c>
      <c r="W792" s="47">
        <v>150</v>
      </c>
      <c r="Z792" s="19">
        <v>0</v>
      </c>
      <c r="AB792" s="21">
        <v>178</v>
      </c>
      <c r="AD792" s="52">
        <v>3</v>
      </c>
      <c r="AE792" s="19"/>
      <c r="AH792" s="23">
        <v>17</v>
      </c>
      <c r="AI792" s="39">
        <v>5</v>
      </c>
      <c r="AN792" s="1">
        <v>102</v>
      </c>
      <c r="AO792" s="1">
        <v>23</v>
      </c>
      <c r="AP792" s="1">
        <v>50</v>
      </c>
      <c r="AQ792" s="1">
        <v>93</v>
      </c>
      <c r="AR792" s="1">
        <v>15</v>
      </c>
      <c r="AS792" s="1">
        <v>57</v>
      </c>
      <c r="AT792" s="1">
        <v>43</v>
      </c>
      <c r="AU792" s="1">
        <v>73</v>
      </c>
      <c r="AV792" s="1">
        <v>71</v>
      </c>
      <c r="AX792" s="1">
        <v>31</v>
      </c>
      <c r="AZ792" s="1">
        <v>80</v>
      </c>
      <c r="BA792" s="1">
        <v>91</v>
      </c>
      <c r="BB792" s="1">
        <v>27</v>
      </c>
      <c r="BC792" s="1">
        <v>76</v>
      </c>
      <c r="BD792" s="1">
        <v>63</v>
      </c>
      <c r="BE792" s="1">
        <v>84</v>
      </c>
      <c r="BF792" s="1">
        <v>77</v>
      </c>
      <c r="BH792" s="1">
        <v>45</v>
      </c>
      <c r="BJ792" s="1">
        <v>69</v>
      </c>
      <c r="BL792" s="1">
        <v>24</v>
      </c>
      <c r="BO792" s="1">
        <v>83</v>
      </c>
      <c r="BP792" s="1">
        <v>82</v>
      </c>
    </row>
    <row r="793" spans="1:89" x14ac:dyDescent="0.25">
      <c r="A793" s="4">
        <v>44643</v>
      </c>
      <c r="B793" s="38">
        <v>19</v>
      </c>
      <c r="C793" s="28">
        <v>4</v>
      </c>
      <c r="D793" s="39">
        <v>76</v>
      </c>
      <c r="E793" s="41">
        <v>983</v>
      </c>
      <c r="H793" s="27">
        <v>8</v>
      </c>
      <c r="I793" s="28">
        <v>230</v>
      </c>
      <c r="J793" s="21">
        <v>16</v>
      </c>
      <c r="K793" s="23">
        <v>8</v>
      </c>
      <c r="N793" s="8">
        <v>29</v>
      </c>
      <c r="P793" s="8">
        <v>11</v>
      </c>
      <c r="Q793" s="8">
        <v>37</v>
      </c>
      <c r="R793" s="8">
        <v>7</v>
      </c>
      <c r="S793" s="19"/>
      <c r="T793" s="21">
        <v>237</v>
      </c>
      <c r="U793" s="21">
        <v>98</v>
      </c>
      <c r="V793" s="24">
        <v>2565</v>
      </c>
      <c r="W793" s="47">
        <v>143</v>
      </c>
      <c r="Z793" s="19">
        <v>4</v>
      </c>
      <c r="AB793" s="21">
        <v>182</v>
      </c>
      <c r="AD793" s="52">
        <v>3</v>
      </c>
      <c r="AE793" s="19"/>
      <c r="AH793" s="23">
        <v>16</v>
      </c>
      <c r="AI793" s="39">
        <v>4</v>
      </c>
      <c r="AN793" s="1">
        <v>102</v>
      </c>
      <c r="AO793" s="1">
        <v>23</v>
      </c>
      <c r="AP793" s="1">
        <v>50</v>
      </c>
      <c r="AQ793" s="1">
        <v>93</v>
      </c>
      <c r="AS793" s="1">
        <v>57</v>
      </c>
      <c r="AT793" s="1">
        <v>43</v>
      </c>
      <c r="AU793" s="1">
        <v>73</v>
      </c>
      <c r="AV793" s="1">
        <v>71</v>
      </c>
      <c r="AX793" s="1">
        <v>31</v>
      </c>
      <c r="AZ793" s="1">
        <v>80</v>
      </c>
      <c r="BA793" s="1">
        <v>91</v>
      </c>
      <c r="BB793" s="1">
        <v>27</v>
      </c>
      <c r="BC793" s="1">
        <v>76</v>
      </c>
      <c r="BD793" s="1">
        <v>63</v>
      </c>
      <c r="BE793" s="1">
        <v>84</v>
      </c>
      <c r="BF793" s="1">
        <v>77</v>
      </c>
      <c r="BH793" s="1">
        <v>45</v>
      </c>
      <c r="BJ793" s="1">
        <v>69</v>
      </c>
      <c r="BL793" s="1">
        <v>24</v>
      </c>
      <c r="BO793" s="1">
        <v>83</v>
      </c>
      <c r="BP793" s="1">
        <v>82</v>
      </c>
      <c r="BU793" s="1">
        <v>76</v>
      </c>
      <c r="CI793" s="1">
        <v>98</v>
      </c>
    </row>
    <row r="794" spans="1:89" x14ac:dyDescent="0.25">
      <c r="A794" s="4">
        <v>44644</v>
      </c>
      <c r="B794" s="38">
        <v>25</v>
      </c>
      <c r="C794" s="28">
        <v>0</v>
      </c>
      <c r="D794" s="39">
        <v>64</v>
      </c>
      <c r="E794" s="41">
        <v>1609</v>
      </c>
      <c r="H794" s="27">
        <v>25</v>
      </c>
      <c r="I794" s="28">
        <v>169</v>
      </c>
      <c r="J794" s="21">
        <v>10</v>
      </c>
      <c r="K794" s="23">
        <v>17</v>
      </c>
      <c r="N794" s="8">
        <v>33</v>
      </c>
      <c r="P794" s="8">
        <v>21</v>
      </c>
      <c r="Q794" s="8">
        <v>36</v>
      </c>
      <c r="R794" s="8">
        <v>1</v>
      </c>
      <c r="S794" s="19"/>
      <c r="T794" s="21">
        <v>312</v>
      </c>
      <c r="U794" s="21">
        <v>69</v>
      </c>
      <c r="V794" s="24">
        <v>1919</v>
      </c>
      <c r="W794" s="47">
        <v>186</v>
      </c>
      <c r="Z794" s="19">
        <v>0</v>
      </c>
      <c r="AB794" s="21">
        <v>150</v>
      </c>
      <c r="AD794" s="52">
        <v>3</v>
      </c>
      <c r="AE794" s="19"/>
      <c r="AH794" s="23">
        <v>18</v>
      </c>
      <c r="AI794" s="39">
        <v>1</v>
      </c>
      <c r="AN794" s="1">
        <v>102</v>
      </c>
      <c r="AO794" s="1">
        <v>23</v>
      </c>
      <c r="AP794" s="1">
        <v>50</v>
      </c>
      <c r="AQ794" s="1">
        <v>93</v>
      </c>
      <c r="AS794" s="1">
        <v>57</v>
      </c>
      <c r="AT794" s="1">
        <v>43</v>
      </c>
      <c r="AU794" s="1">
        <v>73</v>
      </c>
      <c r="AV794" s="1">
        <v>71</v>
      </c>
      <c r="AX794" s="1">
        <v>31</v>
      </c>
      <c r="AZ794" s="1">
        <v>80</v>
      </c>
      <c r="BA794" s="1">
        <v>91</v>
      </c>
      <c r="BB794" s="1">
        <v>27</v>
      </c>
      <c r="BC794" s="1">
        <v>76</v>
      </c>
      <c r="BD794" s="1">
        <v>63</v>
      </c>
      <c r="BE794" s="1">
        <v>84</v>
      </c>
      <c r="BF794" s="1">
        <v>77</v>
      </c>
      <c r="BH794" s="1">
        <v>45</v>
      </c>
      <c r="BJ794" s="1">
        <v>69</v>
      </c>
      <c r="BL794" s="1">
        <v>24</v>
      </c>
      <c r="BO794" s="1">
        <v>83</v>
      </c>
      <c r="BP794" s="1">
        <v>82</v>
      </c>
      <c r="CK794" s="1">
        <v>186</v>
      </c>
    </row>
    <row r="795" spans="1:89" x14ac:dyDescent="0.25">
      <c r="A795" s="4">
        <v>44645</v>
      </c>
      <c r="B795" s="38">
        <v>13</v>
      </c>
      <c r="C795" s="28">
        <v>2</v>
      </c>
      <c r="D795" s="39">
        <v>55</v>
      </c>
      <c r="E795" s="41">
        <v>2264</v>
      </c>
      <c r="H795" s="27">
        <v>16</v>
      </c>
      <c r="I795" s="28">
        <v>158</v>
      </c>
      <c r="J795" s="21">
        <v>11</v>
      </c>
      <c r="K795" s="23">
        <v>10</v>
      </c>
      <c r="N795" s="8">
        <v>40</v>
      </c>
      <c r="P795" s="8">
        <v>10</v>
      </c>
      <c r="Q795" s="8">
        <v>20</v>
      </c>
      <c r="R795" s="8">
        <v>1</v>
      </c>
      <c r="S795" s="19"/>
      <c r="T795" s="21">
        <v>203</v>
      </c>
      <c r="U795" s="21">
        <v>28</v>
      </c>
      <c r="V795" s="24">
        <v>2453</v>
      </c>
      <c r="W795" s="47">
        <v>145</v>
      </c>
      <c r="Z795" s="19">
        <v>1</v>
      </c>
      <c r="AB795" s="21">
        <v>79</v>
      </c>
      <c r="AD795" s="52">
        <v>3</v>
      </c>
      <c r="AE795" s="19"/>
      <c r="AH795" s="23">
        <v>12</v>
      </c>
      <c r="AI795" s="38">
        <v>1</v>
      </c>
      <c r="AN795" s="1">
        <v>102</v>
      </c>
      <c r="AO795" s="1">
        <v>23</v>
      </c>
      <c r="AP795" s="1">
        <v>50</v>
      </c>
      <c r="AQ795" s="1">
        <v>93</v>
      </c>
      <c r="AS795" s="1">
        <v>57</v>
      </c>
      <c r="AT795" s="1">
        <v>43</v>
      </c>
      <c r="AU795" s="1">
        <v>73</v>
      </c>
      <c r="AV795" s="1">
        <v>71</v>
      </c>
      <c r="AX795" s="1">
        <v>31</v>
      </c>
      <c r="AZ795" s="1">
        <v>80</v>
      </c>
      <c r="BA795" s="1">
        <v>91</v>
      </c>
      <c r="BB795" s="1">
        <v>27</v>
      </c>
      <c r="BC795" s="1">
        <v>76</v>
      </c>
      <c r="BD795" s="1">
        <v>63</v>
      </c>
      <c r="BE795" s="1">
        <v>84</v>
      </c>
      <c r="BF795" s="1">
        <v>77</v>
      </c>
      <c r="BH795" s="1">
        <v>45</v>
      </c>
      <c r="BJ795" s="1">
        <v>69</v>
      </c>
      <c r="BL795" s="1">
        <v>24</v>
      </c>
      <c r="BO795" s="1">
        <v>83</v>
      </c>
      <c r="BP795" s="1">
        <v>82</v>
      </c>
    </row>
    <row r="796" spans="1:89" x14ac:dyDescent="0.25">
      <c r="A796" s="4">
        <v>44646</v>
      </c>
      <c r="B796" s="38">
        <v>17</v>
      </c>
      <c r="C796" s="28">
        <v>1</v>
      </c>
      <c r="D796" s="39">
        <v>40</v>
      </c>
      <c r="E796" s="41">
        <v>2676</v>
      </c>
      <c r="H796" s="27">
        <v>18</v>
      </c>
      <c r="I796" s="28">
        <v>265</v>
      </c>
      <c r="J796" s="21">
        <v>10</v>
      </c>
      <c r="K796" s="23">
        <v>11</v>
      </c>
      <c r="N796" s="8">
        <v>15</v>
      </c>
      <c r="P796" s="8">
        <v>24</v>
      </c>
      <c r="Q796" s="8">
        <v>11</v>
      </c>
      <c r="R796" s="8">
        <v>4</v>
      </c>
      <c r="S796" s="19"/>
      <c r="T796" s="21">
        <v>146</v>
      </c>
      <c r="U796" s="21">
        <v>12</v>
      </c>
      <c r="V796" s="24">
        <v>1975</v>
      </c>
      <c r="W796" s="47">
        <v>106</v>
      </c>
      <c r="Z796" s="19">
        <v>2</v>
      </c>
      <c r="AB796" s="21">
        <v>68</v>
      </c>
      <c r="AD796" s="52">
        <v>6</v>
      </c>
      <c r="AE796" s="19"/>
      <c r="AH796" s="23">
        <v>13</v>
      </c>
      <c r="AI796" s="38">
        <v>5</v>
      </c>
      <c r="AN796" s="1">
        <v>102</v>
      </c>
      <c r="AO796" s="1">
        <v>23</v>
      </c>
      <c r="AP796" s="1">
        <v>50</v>
      </c>
      <c r="AQ796" s="1">
        <v>93</v>
      </c>
      <c r="AS796" s="1">
        <v>57</v>
      </c>
      <c r="AT796" s="1">
        <v>43</v>
      </c>
      <c r="AU796" s="1">
        <v>73</v>
      </c>
      <c r="AV796" s="1">
        <v>71</v>
      </c>
      <c r="AX796" s="1">
        <v>31</v>
      </c>
      <c r="AZ796" s="1">
        <v>80</v>
      </c>
      <c r="BA796" s="1">
        <v>91</v>
      </c>
      <c r="BB796" s="1">
        <v>27</v>
      </c>
      <c r="BC796" s="1">
        <v>76</v>
      </c>
      <c r="BD796" s="1">
        <v>63</v>
      </c>
      <c r="BE796" s="1">
        <v>84</v>
      </c>
      <c r="BF796" s="1">
        <v>77</v>
      </c>
      <c r="BH796" s="1">
        <v>45</v>
      </c>
      <c r="BJ796" s="1">
        <v>69</v>
      </c>
      <c r="BL796" s="1">
        <v>24</v>
      </c>
      <c r="BO796" s="1">
        <v>83</v>
      </c>
      <c r="BP796" s="1">
        <v>82</v>
      </c>
    </row>
    <row r="797" spans="1:89" x14ac:dyDescent="0.25">
      <c r="A797" s="4">
        <v>44647</v>
      </c>
      <c r="B797" s="38">
        <v>19</v>
      </c>
      <c r="C797" s="1">
        <v>0</v>
      </c>
      <c r="D797" s="39">
        <v>14</v>
      </c>
      <c r="E797" s="41">
        <v>3500</v>
      </c>
      <c r="H797" s="27">
        <v>38</v>
      </c>
      <c r="I797" s="28">
        <v>184</v>
      </c>
      <c r="J797" s="21">
        <v>22</v>
      </c>
      <c r="K797" s="23">
        <v>13</v>
      </c>
      <c r="N797" s="8">
        <v>12</v>
      </c>
      <c r="P797" s="8">
        <v>14</v>
      </c>
      <c r="Q797" s="8">
        <v>25</v>
      </c>
      <c r="R797" s="8">
        <v>0</v>
      </c>
      <c r="S797" s="19"/>
      <c r="T797" s="21">
        <v>151</v>
      </c>
      <c r="U797" s="21">
        <v>8</v>
      </c>
      <c r="V797" s="24">
        <v>1792</v>
      </c>
      <c r="W797" s="47">
        <v>125</v>
      </c>
      <c r="Z797" s="19">
        <v>1</v>
      </c>
      <c r="AB797" s="21">
        <v>63</v>
      </c>
      <c r="AD797" s="52">
        <v>0</v>
      </c>
      <c r="AE797" s="19"/>
      <c r="AH797" s="23">
        <v>12</v>
      </c>
      <c r="AI797" s="38">
        <v>3</v>
      </c>
      <c r="AJ797" s="53">
        <v>2</v>
      </c>
      <c r="AK797" s="7"/>
      <c r="AL797" s="7"/>
      <c r="AN797" s="1">
        <v>102</v>
      </c>
      <c r="AO797" s="1">
        <v>23</v>
      </c>
      <c r="AP797" s="1">
        <v>50</v>
      </c>
      <c r="AQ797" s="1">
        <v>93</v>
      </c>
      <c r="AS797" s="1">
        <v>57</v>
      </c>
      <c r="AT797" s="1">
        <v>43</v>
      </c>
      <c r="AU797" s="1">
        <v>73</v>
      </c>
      <c r="AV797" s="1">
        <v>71</v>
      </c>
      <c r="AX797" s="1">
        <v>31</v>
      </c>
      <c r="AZ797" s="1">
        <v>80</v>
      </c>
      <c r="BA797" s="1">
        <v>91</v>
      </c>
      <c r="BB797" s="1">
        <v>27</v>
      </c>
      <c r="BC797" s="1">
        <v>76</v>
      </c>
      <c r="BD797" s="1">
        <v>63</v>
      </c>
      <c r="BE797" s="1">
        <v>84</v>
      </c>
      <c r="BF797" s="1">
        <v>77</v>
      </c>
      <c r="BH797" s="1">
        <v>45</v>
      </c>
      <c r="BJ797" s="1">
        <v>69</v>
      </c>
      <c r="BL797" s="1">
        <v>24</v>
      </c>
      <c r="BO797" s="1">
        <v>83</v>
      </c>
      <c r="BP797" s="1">
        <v>82</v>
      </c>
      <c r="BQ797" s="1">
        <v>33</v>
      </c>
    </row>
    <row r="798" spans="1:89" x14ac:dyDescent="0.25">
      <c r="A798" s="4">
        <v>44648</v>
      </c>
      <c r="B798" s="38">
        <v>24</v>
      </c>
      <c r="C798" s="1">
        <v>0</v>
      </c>
      <c r="D798" s="39">
        <v>13</v>
      </c>
      <c r="E798" s="41">
        <v>4456</v>
      </c>
      <c r="H798" s="27">
        <v>18</v>
      </c>
      <c r="I798" s="28">
        <v>125</v>
      </c>
      <c r="J798" s="21">
        <v>18</v>
      </c>
      <c r="K798" s="23">
        <v>10</v>
      </c>
      <c r="N798" s="8">
        <v>11</v>
      </c>
      <c r="P798" s="8">
        <v>11</v>
      </c>
      <c r="Q798" s="8">
        <v>25</v>
      </c>
      <c r="R798" s="8">
        <v>5</v>
      </c>
      <c r="S798" s="19"/>
      <c r="T798" s="21">
        <v>114</v>
      </c>
      <c r="U798" s="46">
        <v>6</v>
      </c>
      <c r="V798" s="24">
        <v>1855</v>
      </c>
      <c r="W798" s="47">
        <v>73</v>
      </c>
      <c r="Z798" s="19">
        <v>0</v>
      </c>
      <c r="AB798" s="21">
        <v>50</v>
      </c>
      <c r="AC798" s="1">
        <v>3</v>
      </c>
      <c r="AD798" s="52">
        <v>3</v>
      </c>
      <c r="AE798" s="19"/>
      <c r="AH798" s="23">
        <v>6</v>
      </c>
      <c r="AI798" s="38">
        <v>11</v>
      </c>
      <c r="AJ798" s="53">
        <v>0</v>
      </c>
      <c r="AK798" s="7"/>
      <c r="AL798" s="7"/>
      <c r="AN798" s="1">
        <v>102</v>
      </c>
      <c r="AO798" s="1">
        <v>23</v>
      </c>
      <c r="AP798" s="1">
        <v>50</v>
      </c>
      <c r="AQ798" s="1">
        <v>93</v>
      </c>
      <c r="AS798" s="1">
        <v>57</v>
      </c>
      <c r="AT798" s="1">
        <v>43</v>
      </c>
      <c r="AU798" s="1">
        <v>73</v>
      </c>
      <c r="AV798" s="1">
        <v>71</v>
      </c>
      <c r="AX798" s="1">
        <v>31</v>
      </c>
      <c r="AZ798" s="1">
        <v>80</v>
      </c>
      <c r="BA798" s="1">
        <v>91</v>
      </c>
      <c r="BB798" s="1">
        <v>27</v>
      </c>
      <c r="BC798" s="1">
        <v>76</v>
      </c>
      <c r="BD798" s="1">
        <v>63</v>
      </c>
      <c r="BE798" s="1">
        <v>84</v>
      </c>
      <c r="BF798" s="1">
        <v>77</v>
      </c>
      <c r="BH798" s="1">
        <v>45</v>
      </c>
      <c r="BJ798" s="1">
        <v>69</v>
      </c>
      <c r="BK798" s="1">
        <v>31</v>
      </c>
      <c r="BL798" s="1">
        <v>24</v>
      </c>
      <c r="BO798" s="1">
        <v>83</v>
      </c>
      <c r="BP798" s="1">
        <v>82</v>
      </c>
      <c r="BQ798" s="1">
        <v>33</v>
      </c>
    </row>
    <row r="799" spans="1:89" x14ac:dyDescent="0.25">
      <c r="A799" s="4">
        <v>44649</v>
      </c>
      <c r="B799" s="38">
        <v>33</v>
      </c>
      <c r="C799" s="7">
        <v>2</v>
      </c>
      <c r="D799" s="39">
        <v>7</v>
      </c>
      <c r="E799" s="41">
        <v>5964</v>
      </c>
      <c r="F799" s="7">
        <v>2</v>
      </c>
      <c r="G799" s="7"/>
      <c r="H799" s="27">
        <v>34</v>
      </c>
      <c r="I799" s="28">
        <v>87</v>
      </c>
      <c r="J799" s="21">
        <v>16</v>
      </c>
      <c r="K799" s="23">
        <v>13</v>
      </c>
      <c r="N799" s="8">
        <v>10</v>
      </c>
      <c r="O799" s="8">
        <v>2</v>
      </c>
      <c r="P799" s="8">
        <v>36</v>
      </c>
      <c r="Q799" s="8">
        <v>27</v>
      </c>
      <c r="R799" s="8">
        <v>3</v>
      </c>
      <c r="S799" s="19"/>
      <c r="T799" s="21">
        <v>81</v>
      </c>
      <c r="U799" s="46">
        <v>10</v>
      </c>
      <c r="V799" s="24">
        <v>2158</v>
      </c>
      <c r="W799" s="47">
        <v>55</v>
      </c>
      <c r="Z799" s="19">
        <v>1</v>
      </c>
      <c r="AB799" s="21">
        <v>27</v>
      </c>
      <c r="AC799" s="1">
        <v>1</v>
      </c>
      <c r="AG799" s="54">
        <v>2</v>
      </c>
      <c r="AH799" s="23">
        <v>3</v>
      </c>
      <c r="AI799" s="38">
        <v>13</v>
      </c>
      <c r="AJ799" s="44">
        <v>1</v>
      </c>
      <c r="AN799" s="1">
        <v>102</v>
      </c>
      <c r="AO799" s="1">
        <v>23</v>
      </c>
      <c r="AP799" s="1">
        <v>50</v>
      </c>
      <c r="AQ799" s="1">
        <v>93</v>
      </c>
      <c r="AS799" s="1">
        <v>57</v>
      </c>
      <c r="AT799" s="1">
        <v>43</v>
      </c>
      <c r="AU799" s="1">
        <v>73</v>
      </c>
      <c r="AV799" s="1">
        <v>71</v>
      </c>
      <c r="AX799" s="1">
        <v>31</v>
      </c>
      <c r="AY799" s="1">
        <v>18</v>
      </c>
      <c r="AZ799" s="1">
        <v>80</v>
      </c>
      <c r="BA799" s="1">
        <v>91</v>
      </c>
      <c r="BB799" s="1">
        <v>27</v>
      </c>
      <c r="BC799" s="1">
        <v>76</v>
      </c>
      <c r="BD799" s="1">
        <v>63</v>
      </c>
      <c r="BE799" s="1">
        <v>84</v>
      </c>
      <c r="BF799" s="1">
        <v>77</v>
      </c>
      <c r="BH799" s="1">
        <v>45</v>
      </c>
      <c r="BJ799" s="1">
        <v>69</v>
      </c>
      <c r="BK799" s="1">
        <v>31</v>
      </c>
      <c r="BN799" s="1">
        <v>13</v>
      </c>
      <c r="BO799" s="1">
        <v>83</v>
      </c>
      <c r="BP799" s="1">
        <v>82</v>
      </c>
      <c r="BQ799" s="1">
        <v>33</v>
      </c>
    </row>
    <row r="800" spans="1:89" x14ac:dyDescent="0.25">
      <c r="A800" s="4">
        <v>44650</v>
      </c>
      <c r="B800" s="38">
        <v>45</v>
      </c>
      <c r="C800" s="1">
        <v>0</v>
      </c>
      <c r="D800" s="39">
        <v>4</v>
      </c>
      <c r="E800" s="41">
        <v>5637</v>
      </c>
      <c r="F800" s="7">
        <v>1</v>
      </c>
      <c r="G800" s="7"/>
      <c r="H800" s="27">
        <v>67</v>
      </c>
      <c r="I800" s="28">
        <v>134</v>
      </c>
      <c r="J800" s="21">
        <v>19</v>
      </c>
      <c r="K800" s="23">
        <v>11</v>
      </c>
      <c r="N800" s="8">
        <v>8</v>
      </c>
      <c r="O800" s="8">
        <v>4</v>
      </c>
      <c r="P800" s="8">
        <v>34</v>
      </c>
      <c r="Q800" s="8">
        <v>37</v>
      </c>
      <c r="R800" s="8">
        <v>5</v>
      </c>
      <c r="S800" s="19"/>
      <c r="T800" s="21">
        <v>83</v>
      </c>
      <c r="U800" s="46">
        <v>12</v>
      </c>
      <c r="V800" s="24">
        <v>2155</v>
      </c>
      <c r="W800" s="47">
        <v>49</v>
      </c>
      <c r="Z800" s="19">
        <v>0</v>
      </c>
      <c r="AB800" s="21">
        <v>27</v>
      </c>
      <c r="AC800" s="1">
        <v>2</v>
      </c>
      <c r="AF800" s="55">
        <v>3</v>
      </c>
      <c r="AG800" s="54">
        <v>24</v>
      </c>
      <c r="AH800" s="23">
        <v>7</v>
      </c>
      <c r="AI800" s="38">
        <v>24</v>
      </c>
      <c r="AJ800" s="44">
        <v>5</v>
      </c>
      <c r="AN800" s="1">
        <v>102</v>
      </c>
      <c r="AP800" s="1">
        <v>50</v>
      </c>
      <c r="AQ800" s="1">
        <v>93</v>
      </c>
      <c r="AS800" s="1">
        <v>57</v>
      </c>
      <c r="AT800" s="1">
        <v>43</v>
      </c>
      <c r="AU800" s="1">
        <v>73</v>
      </c>
      <c r="AV800" s="1">
        <v>71</v>
      </c>
      <c r="AX800" s="1">
        <v>31</v>
      </c>
      <c r="AY800" s="1">
        <v>18</v>
      </c>
      <c r="AZ800" s="1">
        <v>80</v>
      </c>
      <c r="BA800" s="1">
        <v>91</v>
      </c>
      <c r="BB800" s="1">
        <v>27</v>
      </c>
      <c r="BC800" s="1">
        <v>76</v>
      </c>
      <c r="BD800" s="1">
        <v>63</v>
      </c>
      <c r="BE800" s="1">
        <v>84</v>
      </c>
      <c r="BF800" s="1">
        <v>77</v>
      </c>
      <c r="BH800" s="1">
        <v>45</v>
      </c>
      <c r="BJ800" s="1">
        <v>69</v>
      </c>
      <c r="BK800" s="1">
        <v>31</v>
      </c>
      <c r="BM800" s="1">
        <v>16</v>
      </c>
      <c r="BN800" s="1">
        <v>13</v>
      </c>
      <c r="BO800" s="1">
        <v>83</v>
      </c>
      <c r="BP800" s="1">
        <v>82</v>
      </c>
      <c r="BQ800" s="1">
        <v>33</v>
      </c>
    </row>
    <row r="801" spans="1:100" x14ac:dyDescent="0.25">
      <c r="A801" s="4">
        <v>44651</v>
      </c>
      <c r="B801" s="38">
        <v>43</v>
      </c>
      <c r="C801" s="1">
        <v>0</v>
      </c>
      <c r="D801" s="39">
        <v>3</v>
      </c>
      <c r="E801" s="41">
        <v>4482</v>
      </c>
      <c r="F801" s="7">
        <v>2</v>
      </c>
      <c r="G801" s="7"/>
      <c r="H801" s="27">
        <v>50</v>
      </c>
      <c r="I801" s="28">
        <v>76</v>
      </c>
      <c r="J801" s="21">
        <v>18</v>
      </c>
      <c r="K801" s="23">
        <v>16</v>
      </c>
      <c r="N801" s="8">
        <v>9</v>
      </c>
      <c r="O801" s="8">
        <v>4</v>
      </c>
      <c r="P801" s="8">
        <v>20</v>
      </c>
      <c r="Q801" s="8">
        <v>33</v>
      </c>
      <c r="R801" s="8">
        <v>5</v>
      </c>
      <c r="S801" s="19"/>
      <c r="T801" s="21">
        <v>52</v>
      </c>
      <c r="U801" s="46">
        <v>19</v>
      </c>
      <c r="V801" s="24">
        <v>2210</v>
      </c>
      <c r="W801" s="47">
        <v>61</v>
      </c>
      <c r="Z801" s="19">
        <v>2</v>
      </c>
      <c r="AB801" s="21">
        <v>31</v>
      </c>
      <c r="AC801" s="1">
        <v>0</v>
      </c>
      <c r="AF801" s="55">
        <v>3</v>
      </c>
      <c r="AG801" s="54">
        <v>13</v>
      </c>
      <c r="AH801" s="23">
        <v>2</v>
      </c>
      <c r="AI801" s="38">
        <v>13</v>
      </c>
      <c r="AJ801" s="44">
        <v>5</v>
      </c>
      <c r="AN801" s="1">
        <v>102</v>
      </c>
      <c r="AP801" s="1">
        <v>50</v>
      </c>
      <c r="AQ801" s="1">
        <v>93</v>
      </c>
      <c r="AS801" s="1">
        <v>57</v>
      </c>
      <c r="AT801" s="1">
        <v>43</v>
      </c>
      <c r="AU801" s="1">
        <v>73</v>
      </c>
      <c r="AV801" s="1">
        <v>71</v>
      </c>
      <c r="AX801" s="1">
        <v>31</v>
      </c>
      <c r="AY801" s="1">
        <v>18</v>
      </c>
      <c r="AZ801" s="1">
        <v>80</v>
      </c>
      <c r="BA801" s="1">
        <v>91</v>
      </c>
      <c r="BB801" s="1">
        <v>27</v>
      </c>
      <c r="BC801" s="1">
        <v>76</v>
      </c>
      <c r="BD801" s="1">
        <v>63</v>
      </c>
      <c r="BE801" s="1">
        <v>84</v>
      </c>
      <c r="BF801" s="1">
        <v>77</v>
      </c>
      <c r="BH801" s="1">
        <v>45</v>
      </c>
      <c r="BJ801" s="1">
        <v>69</v>
      </c>
      <c r="BK801" s="1">
        <v>31</v>
      </c>
      <c r="BM801" s="1">
        <v>16</v>
      </c>
      <c r="BN801" s="1">
        <v>13</v>
      </c>
      <c r="BO801" s="1">
        <v>83</v>
      </c>
      <c r="BP801" s="1">
        <v>82</v>
      </c>
      <c r="BQ801" s="1">
        <v>33</v>
      </c>
    </row>
    <row r="802" spans="1:100" x14ac:dyDescent="0.25">
      <c r="A802" s="4">
        <v>44652</v>
      </c>
      <c r="B802" s="38">
        <v>65</v>
      </c>
      <c r="C802" s="1">
        <v>0</v>
      </c>
      <c r="D802" s="19">
        <v>0</v>
      </c>
      <c r="E802" s="41">
        <v>6309</v>
      </c>
      <c r="F802" s="7">
        <v>2</v>
      </c>
      <c r="G802" s="7"/>
      <c r="H802" s="27">
        <v>56</v>
      </c>
      <c r="I802" s="28">
        <v>71</v>
      </c>
      <c r="J802" s="21">
        <v>22</v>
      </c>
      <c r="K802" s="23">
        <v>6</v>
      </c>
      <c r="N802" s="8">
        <v>9</v>
      </c>
      <c r="O802" s="8">
        <v>13</v>
      </c>
      <c r="P802" s="8">
        <v>18</v>
      </c>
      <c r="Q802" s="8">
        <v>50</v>
      </c>
      <c r="R802" s="8">
        <v>3</v>
      </c>
      <c r="S802" s="19"/>
      <c r="T802" s="21">
        <v>68</v>
      </c>
      <c r="U802" s="46">
        <v>44</v>
      </c>
      <c r="V802" s="24">
        <v>2954</v>
      </c>
      <c r="W802" s="47">
        <v>56</v>
      </c>
      <c r="AA802" s="1">
        <v>2</v>
      </c>
      <c r="AB802" s="21">
        <v>31</v>
      </c>
      <c r="AC802" s="1">
        <v>0</v>
      </c>
      <c r="AF802" s="55">
        <v>1</v>
      </c>
      <c r="AG802" s="54">
        <v>9</v>
      </c>
      <c r="AH802" s="46">
        <v>6</v>
      </c>
      <c r="AI802" s="38">
        <v>25</v>
      </c>
      <c r="AJ802" s="44">
        <v>11</v>
      </c>
      <c r="AN802" s="1">
        <v>102</v>
      </c>
      <c r="AP802" s="1">
        <v>50</v>
      </c>
      <c r="AQ802" s="1">
        <v>93</v>
      </c>
      <c r="AS802" s="1">
        <v>57</v>
      </c>
      <c r="AT802" s="1">
        <v>43</v>
      </c>
      <c r="AU802" s="1">
        <v>73</v>
      </c>
      <c r="AV802" s="1">
        <v>71</v>
      </c>
      <c r="AX802" s="1">
        <v>31</v>
      </c>
      <c r="AY802" s="1">
        <v>18</v>
      </c>
      <c r="AZ802" s="1">
        <v>80</v>
      </c>
      <c r="BA802" s="1">
        <v>91</v>
      </c>
      <c r="BB802" s="1">
        <v>27</v>
      </c>
      <c r="BC802" s="1">
        <v>76</v>
      </c>
      <c r="BD802" s="1">
        <v>63</v>
      </c>
      <c r="BE802" s="1">
        <v>84</v>
      </c>
      <c r="BF802" s="1">
        <v>77</v>
      </c>
      <c r="BI802" s="1">
        <v>25</v>
      </c>
      <c r="BJ802" s="1">
        <v>69</v>
      </c>
      <c r="BK802" s="1">
        <v>31</v>
      </c>
      <c r="BM802" s="1">
        <v>16</v>
      </c>
      <c r="BN802" s="1">
        <v>13</v>
      </c>
      <c r="BO802" s="1">
        <v>83</v>
      </c>
      <c r="BP802" s="1">
        <v>82</v>
      </c>
      <c r="BQ802" s="1">
        <v>33</v>
      </c>
    </row>
    <row r="803" spans="1:100" x14ac:dyDescent="0.25">
      <c r="A803" s="4">
        <v>44653</v>
      </c>
      <c r="B803" s="38">
        <v>47</v>
      </c>
      <c r="C803" s="1">
        <v>0</v>
      </c>
      <c r="D803" s="19">
        <v>4</v>
      </c>
      <c r="E803" s="41">
        <v>8153</v>
      </c>
      <c r="F803" s="7">
        <v>1</v>
      </c>
      <c r="G803" s="7"/>
      <c r="H803" s="27">
        <v>95</v>
      </c>
      <c r="I803" s="28">
        <v>45</v>
      </c>
      <c r="J803" s="21">
        <v>9</v>
      </c>
      <c r="K803" s="23">
        <v>4</v>
      </c>
      <c r="N803" s="8">
        <v>7</v>
      </c>
      <c r="O803" s="8">
        <v>9</v>
      </c>
      <c r="P803" s="8">
        <v>20</v>
      </c>
      <c r="Q803" s="8">
        <v>17</v>
      </c>
      <c r="R803" s="8">
        <v>2</v>
      </c>
      <c r="S803" s="19"/>
      <c r="T803" s="21">
        <v>36</v>
      </c>
      <c r="U803" s="46">
        <v>39</v>
      </c>
      <c r="V803" s="24">
        <v>4427</v>
      </c>
      <c r="W803" s="47">
        <v>45</v>
      </c>
      <c r="AA803" s="1">
        <v>0</v>
      </c>
      <c r="AB803" s="21">
        <v>10</v>
      </c>
      <c r="AC803" s="12">
        <v>1</v>
      </c>
      <c r="AD803" s="18">
        <v>3</v>
      </c>
      <c r="AF803" s="55">
        <v>10</v>
      </c>
      <c r="AG803" s="54">
        <v>5</v>
      </c>
      <c r="AH803" s="46">
        <v>6</v>
      </c>
      <c r="AI803" s="38">
        <v>14</v>
      </c>
      <c r="AJ803" s="44">
        <v>18</v>
      </c>
      <c r="AN803" s="1">
        <v>102</v>
      </c>
      <c r="AP803" s="1">
        <v>50</v>
      </c>
      <c r="AQ803" s="1">
        <v>93</v>
      </c>
      <c r="AS803" s="1">
        <v>57</v>
      </c>
      <c r="AT803" s="1">
        <v>43</v>
      </c>
      <c r="AU803" s="1">
        <v>73</v>
      </c>
      <c r="AV803" s="1">
        <v>71</v>
      </c>
      <c r="AX803" s="1">
        <v>31</v>
      </c>
      <c r="AY803" s="1">
        <v>18</v>
      </c>
      <c r="AZ803" s="1">
        <v>80</v>
      </c>
      <c r="BA803" s="1">
        <v>91</v>
      </c>
      <c r="BB803" s="1">
        <v>27</v>
      </c>
      <c r="BC803" s="1">
        <v>76</v>
      </c>
      <c r="BD803" s="1">
        <v>63</v>
      </c>
      <c r="BE803" s="1">
        <v>84</v>
      </c>
      <c r="BF803" s="1">
        <v>77</v>
      </c>
      <c r="BI803" s="1">
        <v>25</v>
      </c>
      <c r="BJ803" s="1">
        <v>69</v>
      </c>
      <c r="BK803" s="1">
        <v>31</v>
      </c>
      <c r="BL803" s="1">
        <v>20</v>
      </c>
      <c r="BM803" s="1">
        <v>16</v>
      </c>
      <c r="BN803" s="1">
        <v>13</v>
      </c>
      <c r="BO803" s="1">
        <v>83</v>
      </c>
      <c r="BP803" s="1">
        <v>82</v>
      </c>
      <c r="BQ803" s="1">
        <v>33</v>
      </c>
      <c r="BX803" s="1">
        <v>95</v>
      </c>
      <c r="CJ803" s="7"/>
    </row>
    <row r="804" spans="1:100" x14ac:dyDescent="0.25">
      <c r="A804" s="4">
        <v>44654</v>
      </c>
      <c r="B804" s="30">
        <v>59</v>
      </c>
      <c r="C804" s="29">
        <v>1</v>
      </c>
      <c r="D804" s="18">
        <v>2</v>
      </c>
      <c r="E804" s="40">
        <v>8935</v>
      </c>
      <c r="F804" s="1">
        <v>1</v>
      </c>
      <c r="H804" s="26">
        <v>70</v>
      </c>
      <c r="I804" s="29">
        <v>31</v>
      </c>
      <c r="J804" s="14">
        <v>12</v>
      </c>
      <c r="K804" s="18">
        <v>0</v>
      </c>
      <c r="N804" s="5">
        <v>3</v>
      </c>
      <c r="O804" s="5">
        <v>26</v>
      </c>
      <c r="P804" s="5">
        <v>22</v>
      </c>
      <c r="Q804" s="5">
        <v>24</v>
      </c>
      <c r="R804" s="5">
        <v>3</v>
      </c>
      <c r="T804" s="14">
        <v>111</v>
      </c>
      <c r="U804" s="34">
        <v>43</v>
      </c>
      <c r="V804" s="36">
        <v>3510</v>
      </c>
      <c r="W804" s="33">
        <v>39</v>
      </c>
      <c r="AA804" s="1">
        <v>7</v>
      </c>
      <c r="AB804" s="31">
        <v>17</v>
      </c>
      <c r="AC804" s="12">
        <v>5</v>
      </c>
      <c r="AD804" s="18">
        <v>1</v>
      </c>
      <c r="AF804" s="55">
        <v>16</v>
      </c>
      <c r="AG804" s="54">
        <v>6</v>
      </c>
      <c r="AH804" s="34">
        <v>3</v>
      </c>
      <c r="AI804" s="30">
        <v>16</v>
      </c>
      <c r="AJ804" s="44">
        <v>9</v>
      </c>
      <c r="AN804" s="1">
        <v>102</v>
      </c>
      <c r="AP804" s="1">
        <v>50</v>
      </c>
      <c r="AQ804" s="1">
        <v>93</v>
      </c>
      <c r="AS804" s="1">
        <v>57</v>
      </c>
      <c r="AT804" s="1">
        <v>43</v>
      </c>
      <c r="AU804" s="1">
        <v>73</v>
      </c>
      <c r="AV804" s="1">
        <v>71</v>
      </c>
      <c r="AX804" s="1">
        <v>31</v>
      </c>
      <c r="AY804" s="1">
        <v>18</v>
      </c>
      <c r="AZ804" s="1">
        <v>80</v>
      </c>
      <c r="BA804" s="1">
        <v>91</v>
      </c>
      <c r="BB804" s="1">
        <v>27</v>
      </c>
      <c r="BC804" s="1">
        <v>76</v>
      </c>
      <c r="BD804" s="1">
        <v>63</v>
      </c>
      <c r="BE804" s="1">
        <v>84</v>
      </c>
      <c r="BF804" s="1">
        <v>77</v>
      </c>
      <c r="BI804" s="1">
        <v>25</v>
      </c>
      <c r="BJ804" s="1">
        <v>69</v>
      </c>
      <c r="BK804" s="1">
        <v>31</v>
      </c>
      <c r="BL804" s="1">
        <v>20</v>
      </c>
      <c r="BM804" s="1">
        <v>16</v>
      </c>
      <c r="BN804" s="1">
        <v>13</v>
      </c>
      <c r="BO804" s="1">
        <v>83</v>
      </c>
      <c r="BP804" s="1">
        <v>82</v>
      </c>
      <c r="BQ804" s="1">
        <v>33</v>
      </c>
      <c r="CR804" s="1">
        <v>16</v>
      </c>
    </row>
    <row r="805" spans="1:100" x14ac:dyDescent="0.25">
      <c r="A805" s="4">
        <v>44655</v>
      </c>
      <c r="B805" s="30">
        <v>76</v>
      </c>
      <c r="C805" s="29">
        <v>9</v>
      </c>
      <c r="D805" s="18">
        <v>5</v>
      </c>
      <c r="E805" s="40">
        <v>13350</v>
      </c>
      <c r="F805" s="1">
        <v>1</v>
      </c>
      <c r="H805" s="26">
        <v>49</v>
      </c>
      <c r="I805" s="29">
        <v>13</v>
      </c>
      <c r="J805" s="14">
        <v>4</v>
      </c>
      <c r="K805" s="26">
        <v>2</v>
      </c>
      <c r="N805" s="5">
        <v>4</v>
      </c>
      <c r="O805" s="5">
        <v>2</v>
      </c>
      <c r="P805" s="5">
        <v>31</v>
      </c>
      <c r="Q805" s="5">
        <v>27</v>
      </c>
      <c r="R805" s="5">
        <v>1</v>
      </c>
      <c r="T805" s="14">
        <v>109</v>
      </c>
      <c r="U805" s="34">
        <v>41</v>
      </c>
      <c r="V805" s="36">
        <v>2398</v>
      </c>
      <c r="W805" s="33">
        <v>57</v>
      </c>
      <c r="Z805" s="1">
        <v>2</v>
      </c>
      <c r="AA805" s="1">
        <v>2</v>
      </c>
      <c r="AB805" s="31">
        <v>28</v>
      </c>
      <c r="AC805" s="12">
        <v>6</v>
      </c>
      <c r="AD805" s="18">
        <v>0</v>
      </c>
      <c r="AF805" s="55">
        <v>16</v>
      </c>
      <c r="AG805" s="54">
        <v>9</v>
      </c>
      <c r="AH805" s="34">
        <v>16</v>
      </c>
      <c r="AI805" s="30">
        <v>36</v>
      </c>
      <c r="AJ805" s="44">
        <v>16</v>
      </c>
      <c r="AN805" s="1">
        <v>102</v>
      </c>
      <c r="AP805" s="1">
        <v>50</v>
      </c>
      <c r="AQ805" s="1">
        <v>93</v>
      </c>
      <c r="AS805" s="1">
        <v>57</v>
      </c>
      <c r="AT805" s="1">
        <v>43</v>
      </c>
      <c r="AU805" s="1">
        <v>73</v>
      </c>
      <c r="AV805" s="1">
        <v>71</v>
      </c>
      <c r="AX805" s="1">
        <v>31</v>
      </c>
      <c r="AY805" s="1">
        <v>18</v>
      </c>
      <c r="AZ805" s="1">
        <v>80</v>
      </c>
      <c r="BA805" s="1">
        <v>91</v>
      </c>
      <c r="BB805" s="1">
        <v>27</v>
      </c>
      <c r="BC805" s="1">
        <v>76</v>
      </c>
      <c r="BD805" s="1">
        <v>63</v>
      </c>
      <c r="BE805" s="1">
        <v>84</v>
      </c>
      <c r="BF805" s="1">
        <v>77</v>
      </c>
      <c r="BI805" s="1">
        <v>25</v>
      </c>
      <c r="BJ805" s="1">
        <v>69</v>
      </c>
      <c r="BK805" s="1">
        <v>31</v>
      </c>
      <c r="BL805" s="1">
        <v>20</v>
      </c>
      <c r="BM805" s="1">
        <v>16</v>
      </c>
      <c r="BN805" s="1">
        <v>13</v>
      </c>
      <c r="BO805" s="1">
        <v>83</v>
      </c>
      <c r="BP805" s="1">
        <v>82</v>
      </c>
      <c r="BQ805" s="1">
        <v>33</v>
      </c>
      <c r="CR805" s="1">
        <v>16</v>
      </c>
      <c r="CS805" s="1">
        <v>9</v>
      </c>
    </row>
    <row r="806" spans="1:100" x14ac:dyDescent="0.25">
      <c r="A806" s="4">
        <v>44656</v>
      </c>
      <c r="B806" s="30">
        <v>76</v>
      </c>
      <c r="C806" s="29">
        <v>5</v>
      </c>
      <c r="D806" s="18">
        <v>6</v>
      </c>
      <c r="E806" s="40">
        <v>17037</v>
      </c>
      <c r="H806" s="26">
        <v>56</v>
      </c>
      <c r="I806" s="29">
        <v>22</v>
      </c>
      <c r="J806" s="14">
        <v>8</v>
      </c>
      <c r="K806" s="26">
        <v>2</v>
      </c>
      <c r="N806" s="5">
        <v>1</v>
      </c>
      <c r="O806" s="5">
        <v>31</v>
      </c>
      <c r="P806" s="5">
        <v>33</v>
      </c>
      <c r="Q806" s="5">
        <v>11</v>
      </c>
      <c r="R806" s="5">
        <v>2</v>
      </c>
      <c r="T806" s="14">
        <v>109</v>
      </c>
      <c r="U806" s="34">
        <v>35</v>
      </c>
      <c r="V806" s="36">
        <v>2706</v>
      </c>
      <c r="W806" s="33">
        <v>49</v>
      </c>
      <c r="Z806" s="1">
        <v>0</v>
      </c>
      <c r="AA806" s="1">
        <v>2</v>
      </c>
      <c r="AB806" s="31">
        <v>49</v>
      </c>
      <c r="AC806" s="12">
        <v>8</v>
      </c>
      <c r="AD806" s="18">
        <v>2</v>
      </c>
      <c r="AF806" s="55">
        <v>12</v>
      </c>
      <c r="AG806" s="54">
        <v>7</v>
      </c>
      <c r="AH806" s="34">
        <v>5</v>
      </c>
      <c r="AI806" s="30">
        <v>63</v>
      </c>
      <c r="AJ806" s="44">
        <v>6</v>
      </c>
      <c r="AN806" s="1">
        <v>102</v>
      </c>
      <c r="AP806" s="1">
        <v>50</v>
      </c>
      <c r="AQ806" s="1">
        <v>93</v>
      </c>
      <c r="AS806" s="1">
        <v>57</v>
      </c>
      <c r="AT806" s="1">
        <v>43</v>
      </c>
      <c r="AU806" s="1">
        <v>73</v>
      </c>
      <c r="AV806" s="1">
        <v>71</v>
      </c>
      <c r="AX806" s="1">
        <v>31</v>
      </c>
      <c r="AY806" s="1">
        <v>18</v>
      </c>
      <c r="AZ806" s="1">
        <v>80</v>
      </c>
      <c r="BA806" s="1">
        <v>91</v>
      </c>
      <c r="BB806" s="1">
        <v>27</v>
      </c>
      <c r="BC806" s="1">
        <v>76</v>
      </c>
      <c r="BD806" s="1">
        <v>63</v>
      </c>
      <c r="BE806" s="1">
        <v>84</v>
      </c>
      <c r="BF806" s="1">
        <v>77</v>
      </c>
      <c r="BI806" s="1">
        <v>25</v>
      </c>
      <c r="BJ806" s="1">
        <v>69</v>
      </c>
      <c r="BK806" s="1">
        <v>31</v>
      </c>
      <c r="BL806" s="1">
        <v>20</v>
      </c>
      <c r="BM806" s="1">
        <v>16</v>
      </c>
      <c r="BN806" s="1">
        <v>13</v>
      </c>
      <c r="BO806" s="1">
        <v>83</v>
      </c>
      <c r="BP806" s="1">
        <v>82</v>
      </c>
      <c r="BQ806" s="1">
        <v>33</v>
      </c>
      <c r="CD806" s="1">
        <v>31</v>
      </c>
      <c r="CU806" s="1">
        <v>63</v>
      </c>
    </row>
    <row r="807" spans="1:100" x14ac:dyDescent="0.25">
      <c r="A807" s="4">
        <v>44657</v>
      </c>
      <c r="B807" s="30">
        <v>78</v>
      </c>
      <c r="C807" s="29">
        <v>3</v>
      </c>
      <c r="D807" s="18">
        <v>4</v>
      </c>
      <c r="E807" s="40">
        <v>19967</v>
      </c>
      <c r="H807" s="26">
        <v>60</v>
      </c>
      <c r="I807" s="29">
        <v>18</v>
      </c>
      <c r="J807" s="14">
        <v>4</v>
      </c>
      <c r="K807" s="26">
        <v>8</v>
      </c>
      <c r="O807" s="5">
        <v>11</v>
      </c>
      <c r="P807" s="5">
        <v>36</v>
      </c>
      <c r="Q807" s="5">
        <v>20</v>
      </c>
      <c r="R807" s="5">
        <v>0</v>
      </c>
      <c r="T807" s="14">
        <v>142</v>
      </c>
      <c r="U807" s="34">
        <v>34</v>
      </c>
      <c r="V807" s="36">
        <v>2383</v>
      </c>
      <c r="W807" s="33">
        <v>22</v>
      </c>
      <c r="Z807" s="1">
        <v>1</v>
      </c>
      <c r="AA807" s="1">
        <v>1</v>
      </c>
      <c r="AB807" s="31">
        <v>28</v>
      </c>
      <c r="AC807" s="12">
        <v>8</v>
      </c>
      <c r="AD807" s="18">
        <v>0</v>
      </c>
      <c r="AF807" s="55">
        <v>8</v>
      </c>
      <c r="AG807" s="54">
        <v>4</v>
      </c>
      <c r="AH807" s="34">
        <v>6</v>
      </c>
      <c r="AI807" s="30">
        <v>47</v>
      </c>
      <c r="AJ807" s="44">
        <v>4</v>
      </c>
      <c r="AN807" s="1">
        <v>102</v>
      </c>
      <c r="AP807" s="1">
        <v>50</v>
      </c>
      <c r="AQ807" s="1">
        <v>93</v>
      </c>
      <c r="AS807" s="1">
        <v>57</v>
      </c>
      <c r="AT807" s="1">
        <v>43</v>
      </c>
      <c r="AU807" s="1">
        <v>73</v>
      </c>
      <c r="AV807" s="1">
        <v>71</v>
      </c>
      <c r="AY807" s="1">
        <v>18</v>
      </c>
      <c r="AZ807" s="1">
        <v>80</v>
      </c>
      <c r="BA807" s="1">
        <v>91</v>
      </c>
      <c r="BB807" s="1">
        <v>27</v>
      </c>
      <c r="BC807" s="1">
        <v>76</v>
      </c>
      <c r="BD807" s="1">
        <v>63</v>
      </c>
      <c r="BE807" s="1">
        <v>84</v>
      </c>
      <c r="BF807" s="1">
        <v>77</v>
      </c>
      <c r="BI807" s="1">
        <v>25</v>
      </c>
      <c r="BJ807" s="1">
        <v>69</v>
      </c>
      <c r="BK807" s="1">
        <v>31</v>
      </c>
      <c r="BL807" s="1">
        <v>20</v>
      </c>
      <c r="BM807" s="1">
        <v>16</v>
      </c>
      <c r="BN807" s="1">
        <v>13</v>
      </c>
      <c r="BO807" s="1">
        <v>83</v>
      </c>
      <c r="BP807" s="1">
        <v>82</v>
      </c>
      <c r="BQ807" s="1">
        <v>33</v>
      </c>
      <c r="BS807" s="1">
        <v>78</v>
      </c>
    </row>
    <row r="808" spans="1:100" x14ac:dyDescent="0.25">
      <c r="A808" s="4">
        <v>44658</v>
      </c>
      <c r="B808" s="30">
        <v>75</v>
      </c>
      <c r="C808" s="29">
        <v>9</v>
      </c>
      <c r="D808" s="18">
        <v>0</v>
      </c>
      <c r="E808" s="40">
        <v>20899</v>
      </c>
      <c r="H808" s="26">
        <v>69</v>
      </c>
      <c r="I808" s="29">
        <v>11</v>
      </c>
      <c r="J808" s="22">
        <v>9</v>
      </c>
      <c r="K808" s="26">
        <v>11</v>
      </c>
      <c r="O808" s="5">
        <v>5</v>
      </c>
      <c r="P808" s="5">
        <v>19</v>
      </c>
      <c r="Q808" s="5">
        <v>6</v>
      </c>
      <c r="R808" s="5">
        <v>1</v>
      </c>
      <c r="T808" s="14">
        <v>163</v>
      </c>
      <c r="U808" s="34">
        <v>36</v>
      </c>
      <c r="V808" s="36">
        <v>2205</v>
      </c>
      <c r="W808" s="33">
        <v>37</v>
      </c>
      <c r="Z808" s="1">
        <v>2</v>
      </c>
      <c r="AA808" s="1">
        <v>2</v>
      </c>
      <c r="AB808" s="31">
        <v>49</v>
      </c>
      <c r="AC808" s="12">
        <v>8</v>
      </c>
      <c r="AD808" s="18">
        <v>14</v>
      </c>
      <c r="AF808" s="55">
        <v>4</v>
      </c>
      <c r="AG808" s="54">
        <v>1</v>
      </c>
      <c r="AH808" s="34">
        <v>9</v>
      </c>
      <c r="AI808" s="30">
        <v>42</v>
      </c>
      <c r="AJ808" s="44">
        <v>3</v>
      </c>
      <c r="AN808" s="1">
        <v>102</v>
      </c>
      <c r="AP808" s="1">
        <v>50</v>
      </c>
      <c r="AQ808" s="1">
        <v>93</v>
      </c>
      <c r="AS808" s="1">
        <v>57</v>
      </c>
      <c r="AT808" s="1">
        <v>43</v>
      </c>
      <c r="AU808" s="1">
        <v>73</v>
      </c>
      <c r="AV808" s="1">
        <v>71</v>
      </c>
      <c r="AY808" s="1">
        <v>18</v>
      </c>
      <c r="AZ808" s="1">
        <v>80</v>
      </c>
      <c r="BA808" s="1">
        <v>91</v>
      </c>
      <c r="BB808" s="1">
        <v>27</v>
      </c>
      <c r="BC808" s="1">
        <v>76</v>
      </c>
      <c r="BD808" s="1">
        <v>63</v>
      </c>
      <c r="BE808" s="1">
        <v>84</v>
      </c>
      <c r="BF808" s="1">
        <v>77</v>
      </c>
      <c r="BI808" s="1">
        <v>25</v>
      </c>
      <c r="BJ808" s="1">
        <v>69</v>
      </c>
      <c r="BK808" s="1">
        <v>31</v>
      </c>
      <c r="BL808" s="1">
        <v>20</v>
      </c>
      <c r="BM808" s="1">
        <v>16</v>
      </c>
      <c r="BN808" s="1">
        <v>13</v>
      </c>
      <c r="BO808" s="1">
        <v>83</v>
      </c>
      <c r="BP808" s="1">
        <v>82</v>
      </c>
      <c r="BQ808" s="1">
        <v>33</v>
      </c>
      <c r="CQ808" s="1">
        <v>14</v>
      </c>
    </row>
    <row r="809" spans="1:100" x14ac:dyDescent="0.25">
      <c r="A809" s="4">
        <v>44659</v>
      </c>
      <c r="B809" s="30">
        <v>78</v>
      </c>
      <c r="C809" s="29">
        <v>6</v>
      </c>
      <c r="D809" s="18">
        <v>1</v>
      </c>
      <c r="E809" s="40">
        <v>23204</v>
      </c>
      <c r="F809" s="1">
        <v>1</v>
      </c>
      <c r="H809" s="26">
        <v>70</v>
      </c>
      <c r="I809" s="29">
        <v>10</v>
      </c>
      <c r="J809" s="22">
        <v>9</v>
      </c>
      <c r="K809" s="26">
        <v>4</v>
      </c>
      <c r="O809" s="5">
        <v>3</v>
      </c>
      <c r="P809" s="5">
        <v>18</v>
      </c>
      <c r="Q809" s="5">
        <v>11</v>
      </c>
      <c r="T809" s="14">
        <v>109</v>
      </c>
      <c r="U809" s="34">
        <v>31</v>
      </c>
      <c r="V809" s="36">
        <v>902</v>
      </c>
      <c r="W809" s="33">
        <v>25</v>
      </c>
      <c r="Z809" s="1">
        <v>1</v>
      </c>
      <c r="AA809" s="1">
        <v>0</v>
      </c>
      <c r="AB809" s="31">
        <v>42</v>
      </c>
      <c r="AC809" s="12">
        <v>11</v>
      </c>
      <c r="AD809" s="18">
        <v>6</v>
      </c>
      <c r="AF809" s="55">
        <v>2</v>
      </c>
      <c r="AG809" s="54">
        <v>2</v>
      </c>
      <c r="AH809" s="34">
        <v>3</v>
      </c>
      <c r="AI809" s="30">
        <v>29</v>
      </c>
      <c r="AJ809" s="54">
        <v>2</v>
      </c>
      <c r="AN809" s="1">
        <v>102</v>
      </c>
      <c r="AP809" s="1">
        <v>50</v>
      </c>
      <c r="AQ809" s="1">
        <v>93</v>
      </c>
      <c r="AS809" s="1">
        <v>57</v>
      </c>
      <c r="AT809" s="1">
        <v>43</v>
      </c>
      <c r="AU809" s="1">
        <v>73</v>
      </c>
      <c r="AV809" s="1">
        <v>71</v>
      </c>
      <c r="AY809" s="1">
        <v>18</v>
      </c>
      <c r="AZ809" s="1">
        <v>80</v>
      </c>
      <c r="BA809" s="1">
        <v>91</v>
      </c>
      <c r="BC809" s="1">
        <v>76</v>
      </c>
      <c r="BD809" s="1">
        <v>63</v>
      </c>
      <c r="BE809" s="1">
        <v>84</v>
      </c>
      <c r="BF809" s="1">
        <v>77</v>
      </c>
      <c r="BI809" s="1">
        <v>25</v>
      </c>
      <c r="BJ809" s="1">
        <v>69</v>
      </c>
      <c r="BK809" s="1">
        <v>31</v>
      </c>
      <c r="BL809" s="1">
        <v>20</v>
      </c>
      <c r="BM809" s="1">
        <v>16</v>
      </c>
      <c r="BN809" s="1">
        <v>13</v>
      </c>
      <c r="BO809" s="1">
        <v>83</v>
      </c>
      <c r="BP809" s="1">
        <v>82</v>
      </c>
      <c r="BQ809" s="1">
        <v>33</v>
      </c>
      <c r="BS809" s="1">
        <v>78</v>
      </c>
    </row>
    <row r="810" spans="1:100" x14ac:dyDescent="0.25">
      <c r="A810" s="4">
        <v>44660</v>
      </c>
      <c r="B810" s="30">
        <v>70</v>
      </c>
      <c r="C810" s="29">
        <v>3</v>
      </c>
      <c r="D810" s="18">
        <v>1</v>
      </c>
      <c r="E810" s="40">
        <v>24752</v>
      </c>
      <c r="H810" s="26">
        <v>44</v>
      </c>
      <c r="I810" s="29">
        <v>8</v>
      </c>
      <c r="J810" s="22">
        <v>22</v>
      </c>
      <c r="K810" s="26">
        <v>7</v>
      </c>
      <c r="O810" s="5">
        <v>5</v>
      </c>
      <c r="P810" s="5">
        <v>5</v>
      </c>
      <c r="Q810" s="5">
        <v>2</v>
      </c>
      <c r="T810" s="14">
        <v>87</v>
      </c>
      <c r="U810" s="34">
        <v>29</v>
      </c>
      <c r="V810" s="36">
        <v>907</v>
      </c>
      <c r="W810" s="33">
        <v>12</v>
      </c>
      <c r="AA810" s="1">
        <v>0</v>
      </c>
      <c r="AB810" s="31">
        <v>20</v>
      </c>
      <c r="AC810" s="12">
        <v>7</v>
      </c>
      <c r="AD810" s="18">
        <v>2</v>
      </c>
      <c r="AF810" s="55">
        <v>3</v>
      </c>
      <c r="AG810" s="54">
        <v>5</v>
      </c>
      <c r="AH810" s="34">
        <v>3</v>
      </c>
      <c r="AI810" s="30">
        <v>38</v>
      </c>
      <c r="AJ810" s="54">
        <v>17</v>
      </c>
      <c r="AN810" s="1">
        <v>102</v>
      </c>
      <c r="AP810" s="1">
        <v>50</v>
      </c>
      <c r="AQ810" s="1">
        <v>93</v>
      </c>
      <c r="AS810" s="1">
        <v>57</v>
      </c>
      <c r="AT810" s="1">
        <v>43</v>
      </c>
      <c r="AU810" s="1">
        <v>73</v>
      </c>
      <c r="AV810" s="1">
        <v>71</v>
      </c>
      <c r="AY810" s="1">
        <v>18</v>
      </c>
      <c r="AZ810" s="1">
        <v>80</v>
      </c>
      <c r="BA810" s="1">
        <v>91</v>
      </c>
      <c r="BC810" s="1">
        <v>76</v>
      </c>
      <c r="BD810" s="1">
        <v>63</v>
      </c>
      <c r="BE810" s="1">
        <v>84</v>
      </c>
      <c r="BF810" s="1">
        <v>77</v>
      </c>
      <c r="BI810" s="1">
        <v>25</v>
      </c>
      <c r="BJ810" s="1">
        <v>69</v>
      </c>
      <c r="BK810" s="1">
        <v>31</v>
      </c>
      <c r="BL810" s="1">
        <v>20</v>
      </c>
      <c r="BM810" s="1">
        <v>16</v>
      </c>
      <c r="BN810" s="1">
        <v>13</v>
      </c>
      <c r="BO810" s="1">
        <v>83</v>
      </c>
      <c r="BP810" s="1">
        <v>82</v>
      </c>
      <c r="BQ810" s="1">
        <v>33</v>
      </c>
    </row>
    <row r="811" spans="1:100" x14ac:dyDescent="0.25">
      <c r="A811" s="4">
        <v>44661</v>
      </c>
      <c r="B811" s="30">
        <v>53</v>
      </c>
      <c r="C811" s="29">
        <v>0</v>
      </c>
      <c r="D811" s="18">
        <v>0</v>
      </c>
      <c r="E811" s="40">
        <v>26040</v>
      </c>
      <c r="H811" s="26">
        <v>68</v>
      </c>
      <c r="I811" s="29">
        <v>16</v>
      </c>
      <c r="J811" s="22">
        <v>37</v>
      </c>
      <c r="K811" s="26">
        <v>2</v>
      </c>
      <c r="O811" s="5">
        <v>5</v>
      </c>
      <c r="P811" s="5">
        <v>4</v>
      </c>
      <c r="Q811" s="9">
        <v>3</v>
      </c>
      <c r="T811" s="14">
        <v>100</v>
      </c>
      <c r="U811" s="34">
        <v>20</v>
      </c>
      <c r="V811" s="36">
        <v>953</v>
      </c>
      <c r="W811" s="33">
        <v>12</v>
      </c>
      <c r="AA811" s="1">
        <v>0</v>
      </c>
      <c r="AB811" s="31">
        <v>15</v>
      </c>
      <c r="AC811" s="12">
        <v>4</v>
      </c>
      <c r="AD811" s="18">
        <v>7</v>
      </c>
      <c r="AF811" s="55">
        <v>1</v>
      </c>
      <c r="AG811" s="54">
        <v>3</v>
      </c>
      <c r="AH811" s="34">
        <v>9</v>
      </c>
      <c r="AI811" s="30">
        <v>34</v>
      </c>
      <c r="AJ811" s="54">
        <v>33</v>
      </c>
      <c r="AN811" s="1">
        <v>102</v>
      </c>
      <c r="AP811" s="1">
        <v>50</v>
      </c>
      <c r="AQ811" s="1">
        <v>93</v>
      </c>
      <c r="AS811" s="1">
        <v>57</v>
      </c>
      <c r="AT811" s="1">
        <v>43</v>
      </c>
      <c r="AU811" s="1">
        <v>73</v>
      </c>
      <c r="AV811" s="1">
        <v>71</v>
      </c>
      <c r="AY811" s="1">
        <v>18</v>
      </c>
      <c r="AZ811" s="1">
        <v>80</v>
      </c>
      <c r="BA811" s="1">
        <v>91</v>
      </c>
      <c r="BC811" s="1">
        <v>76</v>
      </c>
      <c r="BD811" s="1">
        <v>63</v>
      </c>
      <c r="BE811" s="1">
        <v>84</v>
      </c>
      <c r="BF811" s="1">
        <v>77</v>
      </c>
      <c r="BI811" s="1">
        <v>25</v>
      </c>
      <c r="BJ811" s="1">
        <v>69</v>
      </c>
      <c r="BK811" s="1">
        <v>31</v>
      </c>
      <c r="BL811" s="1">
        <v>20</v>
      </c>
      <c r="BM811" s="1">
        <v>16</v>
      </c>
      <c r="BN811" s="1">
        <v>13</v>
      </c>
      <c r="BO811" s="1">
        <v>83</v>
      </c>
      <c r="BP811" s="1">
        <v>82</v>
      </c>
      <c r="BQ811" s="1">
        <v>33</v>
      </c>
    </row>
    <row r="812" spans="1:100" x14ac:dyDescent="0.25">
      <c r="A812" s="4">
        <v>44662</v>
      </c>
      <c r="B812" s="30">
        <v>75</v>
      </c>
      <c r="C812" s="29">
        <v>4</v>
      </c>
      <c r="D812" s="18">
        <v>1</v>
      </c>
      <c r="E812" s="40">
        <v>23069</v>
      </c>
      <c r="H812" s="26">
        <v>61</v>
      </c>
      <c r="I812" s="29">
        <v>26</v>
      </c>
      <c r="J812" s="22">
        <v>29</v>
      </c>
      <c r="K812" s="26">
        <v>6</v>
      </c>
      <c r="O812" s="5">
        <v>3</v>
      </c>
      <c r="P812" s="5">
        <v>14</v>
      </c>
      <c r="Q812" s="9">
        <v>2</v>
      </c>
      <c r="T812" s="14">
        <v>44</v>
      </c>
      <c r="U812" s="34">
        <v>20</v>
      </c>
      <c r="V812" s="36">
        <v>740</v>
      </c>
      <c r="W812" s="33">
        <v>25</v>
      </c>
      <c r="Z812" s="1">
        <v>1</v>
      </c>
      <c r="AA812" s="33">
        <v>3</v>
      </c>
      <c r="AB812" s="31">
        <v>16</v>
      </c>
      <c r="AC812" s="12">
        <v>3</v>
      </c>
      <c r="AD812" s="18">
        <v>0</v>
      </c>
      <c r="AF812" s="55">
        <v>2</v>
      </c>
      <c r="AG812" s="1">
        <v>0</v>
      </c>
      <c r="AH812" s="34">
        <v>5</v>
      </c>
      <c r="AI812" s="30">
        <v>25</v>
      </c>
      <c r="AJ812" s="54">
        <v>37</v>
      </c>
      <c r="AN812" s="1">
        <v>102</v>
      </c>
      <c r="AP812" s="1">
        <v>50</v>
      </c>
      <c r="AQ812" s="1">
        <v>93</v>
      </c>
      <c r="AS812" s="1">
        <v>57</v>
      </c>
      <c r="AT812" s="1">
        <v>43</v>
      </c>
      <c r="AU812" s="1">
        <v>73</v>
      </c>
      <c r="AV812" s="1">
        <v>71</v>
      </c>
      <c r="AY812" s="1">
        <v>18</v>
      </c>
      <c r="AZ812" s="1">
        <v>80</v>
      </c>
      <c r="BA812" s="1">
        <v>91</v>
      </c>
      <c r="BC812" s="1">
        <v>76</v>
      </c>
      <c r="BD812" s="1">
        <v>63</v>
      </c>
      <c r="BE812" s="1">
        <v>84</v>
      </c>
      <c r="BF812" s="1">
        <v>77</v>
      </c>
      <c r="BI812" s="1">
        <v>25</v>
      </c>
      <c r="BJ812" s="1">
        <v>69</v>
      </c>
      <c r="BK812" s="1">
        <v>31</v>
      </c>
      <c r="BL812" s="1">
        <v>20</v>
      </c>
      <c r="BM812" s="1">
        <v>16</v>
      </c>
      <c r="BO812" s="1">
        <v>83</v>
      </c>
      <c r="BP812" s="1">
        <v>82</v>
      </c>
      <c r="BQ812" s="1">
        <v>33</v>
      </c>
    </row>
    <row r="813" spans="1:100" x14ac:dyDescent="0.25">
      <c r="A813" s="4">
        <v>44663</v>
      </c>
      <c r="B813" s="30">
        <v>74</v>
      </c>
      <c r="C813" s="29">
        <v>0</v>
      </c>
      <c r="D813" s="18">
        <v>2</v>
      </c>
      <c r="E813" s="40">
        <v>26307</v>
      </c>
      <c r="H813" s="26">
        <v>61</v>
      </c>
      <c r="I813" s="29">
        <v>12</v>
      </c>
      <c r="J813" s="22">
        <v>22</v>
      </c>
      <c r="K813" s="26">
        <v>71</v>
      </c>
      <c r="O813" s="5">
        <v>1</v>
      </c>
      <c r="P813" s="5">
        <v>14</v>
      </c>
      <c r="Q813" s="9">
        <v>4</v>
      </c>
      <c r="R813" s="18">
        <v>2</v>
      </c>
      <c r="T813" s="14">
        <v>38</v>
      </c>
      <c r="U813" s="34">
        <v>17</v>
      </c>
      <c r="V813" s="36">
        <v>988</v>
      </c>
      <c r="W813" s="33">
        <v>32</v>
      </c>
      <c r="Z813" s="1">
        <v>1</v>
      </c>
      <c r="AA813" s="33">
        <v>11</v>
      </c>
      <c r="AB813" s="31">
        <v>21</v>
      </c>
      <c r="AC813" s="32">
        <v>4</v>
      </c>
      <c r="AD813" s="18">
        <v>2</v>
      </c>
      <c r="AF813" s="55">
        <v>3</v>
      </c>
      <c r="AG813" s="1">
        <v>0</v>
      </c>
      <c r="AH813" s="34">
        <v>11</v>
      </c>
      <c r="AI813" s="30">
        <v>25</v>
      </c>
      <c r="AJ813" s="54">
        <v>45</v>
      </c>
      <c r="AN813" s="1">
        <v>102</v>
      </c>
      <c r="AP813" s="1">
        <v>50</v>
      </c>
      <c r="AQ813" s="1">
        <v>93</v>
      </c>
      <c r="AS813" s="1">
        <v>57</v>
      </c>
      <c r="AT813" s="1">
        <v>43</v>
      </c>
      <c r="AU813" s="1">
        <v>73</v>
      </c>
      <c r="AV813" s="1">
        <v>71</v>
      </c>
      <c r="AY813" s="1">
        <v>18</v>
      </c>
      <c r="AZ813" s="1">
        <v>80</v>
      </c>
      <c r="BA813" s="1">
        <v>91</v>
      </c>
      <c r="BC813" s="1">
        <v>76</v>
      </c>
      <c r="BD813" s="1">
        <v>63</v>
      </c>
      <c r="BE813" s="1">
        <v>84</v>
      </c>
      <c r="BF813" s="1">
        <v>77</v>
      </c>
      <c r="BI813" s="1">
        <v>25</v>
      </c>
      <c r="BJ813" s="1">
        <v>69</v>
      </c>
      <c r="BK813" s="1">
        <v>31</v>
      </c>
      <c r="BL813" s="1">
        <v>20</v>
      </c>
      <c r="BM813" s="1">
        <v>16</v>
      </c>
      <c r="BO813" s="1">
        <v>83</v>
      </c>
      <c r="BP813" s="1">
        <v>82</v>
      </c>
      <c r="BQ813" s="1">
        <v>33</v>
      </c>
      <c r="CV813" s="1">
        <v>45</v>
      </c>
    </row>
    <row r="814" spans="1:100" x14ac:dyDescent="0.25">
      <c r="A814" s="4">
        <v>44664</v>
      </c>
      <c r="B814" s="30">
        <v>53</v>
      </c>
      <c r="C814" s="29">
        <v>1</v>
      </c>
      <c r="D814" s="18">
        <v>0</v>
      </c>
      <c r="E814" s="40">
        <v>27605</v>
      </c>
      <c r="F814" s="1">
        <v>1</v>
      </c>
      <c r="H814" s="26">
        <v>50</v>
      </c>
      <c r="I814" s="29">
        <v>18</v>
      </c>
      <c r="J814" s="22">
        <v>66</v>
      </c>
      <c r="K814" s="26">
        <v>129</v>
      </c>
      <c r="O814" s="5">
        <v>0</v>
      </c>
      <c r="P814" s="5">
        <v>46</v>
      </c>
      <c r="Q814" s="9">
        <v>9</v>
      </c>
      <c r="R814" s="18">
        <v>0</v>
      </c>
      <c r="T814" s="14">
        <v>31</v>
      </c>
      <c r="U814" s="34">
        <v>21</v>
      </c>
      <c r="V814" s="36">
        <v>785</v>
      </c>
      <c r="W814" s="33">
        <v>33</v>
      </c>
      <c r="Z814" s="1">
        <v>3</v>
      </c>
      <c r="AA814" s="33">
        <v>14</v>
      </c>
      <c r="AB814" s="31">
        <v>29</v>
      </c>
      <c r="AC814" s="32">
        <v>8</v>
      </c>
      <c r="AD814" s="18">
        <v>4</v>
      </c>
      <c r="AF814" s="55">
        <v>0</v>
      </c>
      <c r="AG814" s="1">
        <v>0</v>
      </c>
      <c r="AH814" s="34">
        <v>10</v>
      </c>
      <c r="AI814" s="30">
        <v>15</v>
      </c>
      <c r="AJ814" s="54">
        <v>42</v>
      </c>
      <c r="AN814" s="1">
        <v>102</v>
      </c>
      <c r="AP814" s="1">
        <v>50</v>
      </c>
      <c r="AQ814" s="1">
        <v>93</v>
      </c>
      <c r="AS814" s="1">
        <v>57</v>
      </c>
      <c r="AT814" s="1">
        <v>43</v>
      </c>
      <c r="AU814" s="1">
        <v>73</v>
      </c>
      <c r="AV814" s="1">
        <v>71</v>
      </c>
      <c r="AY814" s="1">
        <v>18</v>
      </c>
      <c r="AZ814" s="1">
        <v>80</v>
      </c>
      <c r="BA814" s="1">
        <v>91</v>
      </c>
      <c r="BC814" s="1">
        <v>76</v>
      </c>
      <c r="BD814" s="1">
        <v>63</v>
      </c>
      <c r="BE814" s="1">
        <v>84</v>
      </c>
      <c r="BF814" s="1">
        <v>77</v>
      </c>
      <c r="BI814" s="1">
        <v>25</v>
      </c>
      <c r="BJ814" s="1">
        <v>69</v>
      </c>
      <c r="BK814" s="1">
        <v>31</v>
      </c>
      <c r="BL814" s="1">
        <v>20</v>
      </c>
      <c r="BM814" s="1">
        <v>16</v>
      </c>
      <c r="BO814" s="1">
        <v>83</v>
      </c>
      <c r="BP814" s="1">
        <v>82</v>
      </c>
      <c r="BQ814" s="1">
        <v>33</v>
      </c>
      <c r="BZ814" s="1">
        <v>66</v>
      </c>
      <c r="CE814" s="1">
        <v>46</v>
      </c>
    </row>
    <row r="815" spans="1:100" x14ac:dyDescent="0.25">
      <c r="A815" s="4">
        <v>44665</v>
      </c>
      <c r="B815" s="30">
        <v>50</v>
      </c>
      <c r="C815" s="29">
        <v>2</v>
      </c>
      <c r="D815" s="18">
        <v>2</v>
      </c>
      <c r="E815" s="40">
        <v>22765</v>
      </c>
      <c r="F815" s="1">
        <v>1</v>
      </c>
      <c r="H815" s="26">
        <v>47</v>
      </c>
      <c r="I815" s="29">
        <v>16</v>
      </c>
      <c r="J815" s="22">
        <v>40</v>
      </c>
      <c r="K815" s="26">
        <v>136</v>
      </c>
      <c r="O815" s="1">
        <v>1</v>
      </c>
      <c r="P815" s="5">
        <v>26</v>
      </c>
      <c r="Q815" s="9">
        <v>10</v>
      </c>
      <c r="R815" s="18">
        <v>0</v>
      </c>
      <c r="T815" s="14">
        <v>23</v>
      </c>
      <c r="U815" s="34">
        <v>19</v>
      </c>
      <c r="V815" s="36">
        <v>435</v>
      </c>
      <c r="W815" s="33">
        <v>21</v>
      </c>
      <c r="Z815" s="1">
        <v>4</v>
      </c>
      <c r="AA815" s="33">
        <v>10</v>
      </c>
      <c r="AB815" s="31">
        <v>28</v>
      </c>
      <c r="AC815" s="32">
        <v>53</v>
      </c>
      <c r="AD815" s="18">
        <v>7</v>
      </c>
      <c r="AF815" s="55">
        <v>1</v>
      </c>
      <c r="AG815" s="1">
        <v>0</v>
      </c>
      <c r="AH815" s="34">
        <v>22</v>
      </c>
      <c r="AI815" s="30">
        <v>12</v>
      </c>
      <c r="AJ815" s="54">
        <v>30</v>
      </c>
      <c r="AN815" s="1">
        <v>102</v>
      </c>
      <c r="AP815" s="1">
        <v>50</v>
      </c>
      <c r="AQ815" s="1">
        <v>93</v>
      </c>
      <c r="AS815" s="1">
        <v>57</v>
      </c>
      <c r="AT815" s="1">
        <v>43</v>
      </c>
      <c r="AU815" s="1">
        <v>73</v>
      </c>
      <c r="AV815" s="1">
        <v>71</v>
      </c>
      <c r="AY815" s="1">
        <v>18</v>
      </c>
      <c r="AZ815" s="1">
        <v>80</v>
      </c>
      <c r="BA815" s="1">
        <v>91</v>
      </c>
      <c r="BC815" s="1">
        <v>76</v>
      </c>
      <c r="BD815" s="1">
        <v>63</v>
      </c>
      <c r="BE815" s="1">
        <v>84</v>
      </c>
      <c r="BF815" s="1">
        <v>77</v>
      </c>
      <c r="BI815" s="1">
        <v>25</v>
      </c>
      <c r="BJ815" s="1">
        <v>69</v>
      </c>
      <c r="BK815" s="1">
        <v>31</v>
      </c>
      <c r="BL815" s="1">
        <v>20</v>
      </c>
      <c r="BM815" s="1">
        <v>16</v>
      </c>
      <c r="BO815" s="1">
        <v>83</v>
      </c>
      <c r="BP815" s="1">
        <v>82</v>
      </c>
      <c r="BQ815" s="1">
        <v>33</v>
      </c>
      <c r="CA815" s="1">
        <v>136</v>
      </c>
    </row>
    <row r="816" spans="1:100" x14ac:dyDescent="0.25">
      <c r="A816" s="4">
        <v>44666</v>
      </c>
      <c r="B816" s="30">
        <v>56</v>
      </c>
      <c r="C816" s="1">
        <v>0</v>
      </c>
      <c r="E816" s="40">
        <v>22591</v>
      </c>
      <c r="H816" s="26">
        <v>44</v>
      </c>
      <c r="I816" s="29">
        <v>69</v>
      </c>
      <c r="J816" s="22">
        <v>37</v>
      </c>
      <c r="K816" s="26">
        <v>55</v>
      </c>
      <c r="O816" s="1">
        <v>2</v>
      </c>
      <c r="P816" s="5">
        <v>24</v>
      </c>
      <c r="Q816" s="9">
        <v>34</v>
      </c>
      <c r="R816" s="18">
        <v>1</v>
      </c>
      <c r="T816" s="14">
        <v>17</v>
      </c>
      <c r="U816" s="34">
        <v>8</v>
      </c>
      <c r="V816" s="36">
        <v>575</v>
      </c>
      <c r="W816" s="33">
        <v>28</v>
      </c>
      <c r="Z816" s="1">
        <v>2</v>
      </c>
      <c r="AA816" s="33">
        <v>4</v>
      </c>
      <c r="AB816" s="31">
        <v>6</v>
      </c>
      <c r="AC816" s="32">
        <v>24</v>
      </c>
      <c r="AD816" s="18">
        <v>2</v>
      </c>
      <c r="AG816" s="1">
        <v>3</v>
      </c>
      <c r="AH816" s="34">
        <v>56</v>
      </c>
      <c r="AI816" s="30">
        <v>12</v>
      </c>
      <c r="AJ816" s="54">
        <v>41</v>
      </c>
      <c r="AN816" s="1">
        <v>102</v>
      </c>
      <c r="AQ816" s="1">
        <v>93</v>
      </c>
      <c r="AS816" s="1">
        <v>57</v>
      </c>
      <c r="AT816" s="1">
        <v>43</v>
      </c>
      <c r="AU816" s="1">
        <v>73</v>
      </c>
      <c r="AV816" s="1">
        <v>71</v>
      </c>
      <c r="AY816" s="1">
        <v>18</v>
      </c>
      <c r="AZ816" s="1">
        <v>80</v>
      </c>
      <c r="BA816" s="1">
        <v>91</v>
      </c>
      <c r="BC816" s="1">
        <v>76</v>
      </c>
      <c r="BD816" s="1">
        <v>63</v>
      </c>
      <c r="BE816" s="1">
        <v>84</v>
      </c>
      <c r="BF816" s="1">
        <v>77</v>
      </c>
      <c r="BI816" s="1">
        <v>25</v>
      </c>
      <c r="BJ816" s="1">
        <v>69</v>
      </c>
      <c r="BK816" s="1">
        <v>31</v>
      </c>
      <c r="BL816" s="1">
        <v>20</v>
      </c>
      <c r="BO816" s="1">
        <v>83</v>
      </c>
      <c r="BP816" s="1">
        <v>82</v>
      </c>
      <c r="BQ816" s="1">
        <v>33</v>
      </c>
      <c r="CT816" s="1">
        <v>56</v>
      </c>
    </row>
    <row r="817" spans="1:99" x14ac:dyDescent="0.25">
      <c r="A817" s="4">
        <v>44667</v>
      </c>
      <c r="B817" s="30">
        <v>87</v>
      </c>
      <c r="C817" s="1">
        <v>0</v>
      </c>
      <c r="E817" s="40">
        <v>23643</v>
      </c>
      <c r="H817" s="26">
        <v>58</v>
      </c>
      <c r="I817" s="29">
        <v>22</v>
      </c>
      <c r="J817" s="22">
        <v>36</v>
      </c>
      <c r="K817" s="26">
        <v>17</v>
      </c>
      <c r="P817" s="5">
        <v>21</v>
      </c>
      <c r="Q817" s="9">
        <v>60</v>
      </c>
      <c r="R817" s="18">
        <v>1</v>
      </c>
      <c r="T817" s="14">
        <v>5</v>
      </c>
      <c r="U817" s="32">
        <v>3</v>
      </c>
      <c r="V817" s="36">
        <v>656</v>
      </c>
      <c r="W817" s="33">
        <v>8</v>
      </c>
      <c r="Z817" s="1">
        <v>2</v>
      </c>
      <c r="AA817" s="33">
        <v>10</v>
      </c>
      <c r="AB817" s="33">
        <v>23</v>
      </c>
      <c r="AC817" s="32">
        <v>44</v>
      </c>
      <c r="AD817" s="18">
        <v>5</v>
      </c>
      <c r="AG817" s="1">
        <v>0</v>
      </c>
      <c r="AH817" s="34">
        <v>51</v>
      </c>
      <c r="AI817" s="30">
        <v>28</v>
      </c>
      <c r="AJ817" s="54">
        <v>12</v>
      </c>
      <c r="AN817" s="1">
        <v>102</v>
      </c>
      <c r="AQ817" s="1">
        <v>93</v>
      </c>
      <c r="AS817" s="1">
        <v>57</v>
      </c>
      <c r="AT817" s="1">
        <v>43</v>
      </c>
      <c r="AU817" s="1">
        <v>73</v>
      </c>
      <c r="AV817" s="1">
        <v>71</v>
      </c>
      <c r="AZ817" s="1">
        <v>80</v>
      </c>
      <c r="BA817" s="1">
        <v>91</v>
      </c>
      <c r="BC817" s="1">
        <v>76</v>
      </c>
      <c r="BD817" s="1">
        <v>63</v>
      </c>
      <c r="BE817" s="1">
        <v>84</v>
      </c>
      <c r="BF817" s="1">
        <v>77</v>
      </c>
      <c r="BI817" s="1">
        <v>25</v>
      </c>
      <c r="BJ817" s="1">
        <v>69</v>
      </c>
      <c r="BK817" s="1">
        <v>31</v>
      </c>
      <c r="BL817" s="1">
        <v>20</v>
      </c>
      <c r="BO817" s="1">
        <v>83</v>
      </c>
      <c r="BP817" s="1">
        <v>82</v>
      </c>
      <c r="BQ817" s="1">
        <v>33</v>
      </c>
    </row>
    <row r="818" spans="1:99" x14ac:dyDescent="0.25">
      <c r="A818" s="4">
        <v>44668</v>
      </c>
      <c r="B818" s="30">
        <v>95</v>
      </c>
      <c r="C818" s="34">
        <v>3</v>
      </c>
      <c r="E818" s="40">
        <v>21395</v>
      </c>
      <c r="H818" s="26">
        <v>58</v>
      </c>
      <c r="I818" s="29">
        <v>18</v>
      </c>
      <c r="J818" s="22">
        <v>30</v>
      </c>
      <c r="K818" s="26">
        <v>16</v>
      </c>
      <c r="P818" s="5">
        <v>10</v>
      </c>
      <c r="Q818" s="9">
        <v>54</v>
      </c>
      <c r="R818" s="18">
        <v>0</v>
      </c>
      <c r="T818" s="1">
        <v>0</v>
      </c>
      <c r="U818" s="32">
        <v>44</v>
      </c>
      <c r="V818" s="36">
        <v>501</v>
      </c>
      <c r="W818" s="33">
        <v>9</v>
      </c>
      <c r="AA818" s="33">
        <v>15</v>
      </c>
      <c r="AB818" s="33">
        <v>30</v>
      </c>
      <c r="AC818" s="32">
        <v>59</v>
      </c>
      <c r="AD818" s="18">
        <v>2</v>
      </c>
      <c r="AG818" s="1">
        <v>0</v>
      </c>
      <c r="AH818" s="34">
        <v>31</v>
      </c>
      <c r="AI818" s="30">
        <v>68</v>
      </c>
      <c r="AJ818" s="54">
        <v>11</v>
      </c>
      <c r="AN818" s="1">
        <v>102</v>
      </c>
      <c r="AQ818" s="1">
        <v>93</v>
      </c>
      <c r="AS818" s="1">
        <v>57</v>
      </c>
      <c r="AT818" s="1">
        <v>43</v>
      </c>
      <c r="AU818" s="1">
        <v>73</v>
      </c>
      <c r="AV818" s="1">
        <v>71</v>
      </c>
      <c r="AZ818" s="1">
        <v>80</v>
      </c>
      <c r="BA818" s="1">
        <v>91</v>
      </c>
      <c r="BC818" s="1">
        <v>76</v>
      </c>
      <c r="BD818" s="1">
        <v>63</v>
      </c>
      <c r="BE818" s="1">
        <v>84</v>
      </c>
      <c r="BF818" s="1">
        <v>77</v>
      </c>
      <c r="BI818" s="1">
        <v>25</v>
      </c>
      <c r="BJ818" s="1">
        <v>69</v>
      </c>
      <c r="BK818" s="1">
        <v>31</v>
      </c>
      <c r="BL818" s="1">
        <v>20</v>
      </c>
      <c r="BO818" s="1">
        <v>83</v>
      </c>
      <c r="BP818" s="1">
        <v>82</v>
      </c>
      <c r="BQ818" s="1">
        <v>33</v>
      </c>
      <c r="CN818" s="1">
        <v>15</v>
      </c>
      <c r="CP818" s="1">
        <v>59</v>
      </c>
      <c r="CU818" s="1">
        <v>68</v>
      </c>
    </row>
    <row r="819" spans="1:99" x14ac:dyDescent="0.25">
      <c r="A819" s="4">
        <v>44669</v>
      </c>
      <c r="B819" s="30">
        <v>133</v>
      </c>
      <c r="C819" s="34">
        <v>2</v>
      </c>
      <c r="E819" s="40">
        <v>19442</v>
      </c>
      <c r="H819" s="26">
        <v>61</v>
      </c>
      <c r="I819" s="29">
        <v>6</v>
      </c>
      <c r="J819" s="22">
        <v>14</v>
      </c>
      <c r="K819" s="26">
        <v>15</v>
      </c>
      <c r="N819" s="1">
        <v>1</v>
      </c>
      <c r="P819" s="5">
        <v>24</v>
      </c>
      <c r="Q819" s="9">
        <v>95</v>
      </c>
      <c r="R819" s="18">
        <v>1</v>
      </c>
      <c r="T819" s="32">
        <v>29</v>
      </c>
      <c r="U819" s="32">
        <v>51</v>
      </c>
      <c r="V819" s="36">
        <v>446</v>
      </c>
      <c r="W819" s="33">
        <v>17</v>
      </c>
      <c r="AA819" s="33">
        <v>2</v>
      </c>
      <c r="AB819" s="33">
        <v>17</v>
      </c>
      <c r="AC819" s="32">
        <v>33</v>
      </c>
      <c r="AD819" s="18">
        <v>5</v>
      </c>
      <c r="AG819" s="1">
        <v>1</v>
      </c>
      <c r="AH819" s="34">
        <v>14</v>
      </c>
      <c r="AI819" s="30">
        <v>46</v>
      </c>
      <c r="AJ819" s="54">
        <v>14</v>
      </c>
      <c r="AN819" s="1">
        <v>102</v>
      </c>
      <c r="AQ819" s="1">
        <v>93</v>
      </c>
      <c r="AS819" s="1">
        <v>57</v>
      </c>
      <c r="AT819" s="1">
        <v>43</v>
      </c>
      <c r="AU819" s="1">
        <v>73</v>
      </c>
      <c r="AV819" s="1">
        <v>71</v>
      </c>
      <c r="AZ819" s="1">
        <v>80</v>
      </c>
      <c r="BA819" s="1">
        <v>91</v>
      </c>
      <c r="BC819" s="1">
        <v>76</v>
      </c>
      <c r="BD819" s="1">
        <v>63</v>
      </c>
      <c r="BE819" s="1">
        <v>84</v>
      </c>
      <c r="BF819" s="1">
        <v>77</v>
      </c>
      <c r="BI819" s="1">
        <v>25</v>
      </c>
      <c r="BJ819" s="1">
        <v>69</v>
      </c>
      <c r="BK819" s="1">
        <v>31</v>
      </c>
      <c r="BL819" s="1">
        <v>20</v>
      </c>
      <c r="BO819" s="1">
        <v>83</v>
      </c>
      <c r="BP819" s="1">
        <v>82</v>
      </c>
      <c r="BQ819" s="1">
        <v>33</v>
      </c>
      <c r="BS819" s="1">
        <v>133</v>
      </c>
      <c r="CF819" s="1">
        <v>95</v>
      </c>
    </row>
    <row r="820" spans="1:99" x14ac:dyDescent="0.25">
      <c r="A820" s="4">
        <v>44670</v>
      </c>
      <c r="B820" s="30">
        <v>100</v>
      </c>
      <c r="C820" s="34">
        <v>2</v>
      </c>
      <c r="E820" s="40">
        <v>18368</v>
      </c>
      <c r="H820" s="26">
        <v>48</v>
      </c>
      <c r="I820" s="1">
        <v>0</v>
      </c>
      <c r="J820" s="22">
        <v>17</v>
      </c>
      <c r="K820" s="26">
        <v>6</v>
      </c>
      <c r="P820" s="5">
        <v>16</v>
      </c>
      <c r="Q820" s="9">
        <v>73</v>
      </c>
      <c r="R820" s="18">
        <v>3</v>
      </c>
      <c r="T820" s="32">
        <v>62</v>
      </c>
      <c r="U820" s="32">
        <v>53</v>
      </c>
      <c r="V820" s="36">
        <v>326</v>
      </c>
      <c r="W820" s="33">
        <v>9</v>
      </c>
      <c r="AA820" s="33">
        <v>2</v>
      </c>
      <c r="AB820" s="33">
        <v>25</v>
      </c>
      <c r="AC820" s="32">
        <v>29</v>
      </c>
      <c r="AD820" s="18">
        <v>4</v>
      </c>
      <c r="AG820" s="1">
        <v>0</v>
      </c>
      <c r="AH820" s="34">
        <v>5</v>
      </c>
      <c r="AI820" s="30">
        <v>51</v>
      </c>
      <c r="AJ820" s="54">
        <v>4</v>
      </c>
      <c r="AN820" s="1">
        <v>102</v>
      </c>
      <c r="AQ820" s="1">
        <v>93</v>
      </c>
      <c r="AS820" s="1">
        <v>57</v>
      </c>
      <c r="AT820" s="1">
        <v>43</v>
      </c>
      <c r="AU820" s="1">
        <v>73</v>
      </c>
      <c r="AV820" s="1">
        <v>71</v>
      </c>
      <c r="AZ820" s="1">
        <v>80</v>
      </c>
      <c r="BA820" s="1">
        <v>91</v>
      </c>
      <c r="BC820" s="1">
        <v>76</v>
      </c>
      <c r="BD820" s="1">
        <v>63</v>
      </c>
      <c r="BE820" s="1">
        <v>84</v>
      </c>
      <c r="BF820" s="1">
        <v>77</v>
      </c>
      <c r="BI820" s="1">
        <v>25</v>
      </c>
      <c r="BJ820" s="1">
        <v>69</v>
      </c>
      <c r="BK820" s="1">
        <v>31</v>
      </c>
      <c r="BL820" s="1">
        <v>20</v>
      </c>
      <c r="BO820" s="1">
        <v>83</v>
      </c>
      <c r="BP820" s="1">
        <v>82</v>
      </c>
      <c r="BQ820" s="1">
        <v>33</v>
      </c>
    </row>
    <row r="821" spans="1:99" x14ac:dyDescent="0.25">
      <c r="A821" s="4">
        <v>44671</v>
      </c>
      <c r="B821" s="30">
        <v>119</v>
      </c>
      <c r="C821" s="34">
        <v>1</v>
      </c>
      <c r="E821" s="40">
        <v>18036</v>
      </c>
      <c r="H821" s="26">
        <v>30</v>
      </c>
      <c r="I821" s="1">
        <v>1</v>
      </c>
      <c r="J821" s="22">
        <v>10</v>
      </c>
      <c r="K821" s="26">
        <v>6</v>
      </c>
      <c r="P821" s="5">
        <v>26</v>
      </c>
      <c r="Q821" s="9">
        <v>65</v>
      </c>
      <c r="R821" s="18">
        <v>3</v>
      </c>
      <c r="T821" s="32">
        <v>94</v>
      </c>
      <c r="U821" s="32">
        <v>45</v>
      </c>
      <c r="V821" s="36">
        <v>324</v>
      </c>
      <c r="W821" s="33">
        <v>6</v>
      </c>
      <c r="Z821" s="1">
        <v>1</v>
      </c>
      <c r="AA821" s="33">
        <v>13</v>
      </c>
      <c r="AB821" s="33">
        <v>20</v>
      </c>
      <c r="AC821" s="32">
        <v>31</v>
      </c>
      <c r="AD821" s="18">
        <v>0</v>
      </c>
      <c r="AF821" s="1">
        <v>8</v>
      </c>
      <c r="AG821" s="1">
        <v>1</v>
      </c>
      <c r="AH821" s="33">
        <v>7</v>
      </c>
      <c r="AI821" s="30">
        <v>32</v>
      </c>
      <c r="AJ821" s="54">
        <v>3</v>
      </c>
      <c r="AN821" s="1">
        <v>102</v>
      </c>
      <c r="AQ821" s="1">
        <v>93</v>
      </c>
      <c r="AS821" s="1">
        <v>57</v>
      </c>
      <c r="AT821" s="1">
        <v>43</v>
      </c>
      <c r="AU821" s="1">
        <v>73</v>
      </c>
      <c r="AV821" s="1">
        <v>71</v>
      </c>
      <c r="AZ821" s="1">
        <v>80</v>
      </c>
      <c r="BA821" s="1">
        <v>91</v>
      </c>
      <c r="BC821" s="1">
        <v>76</v>
      </c>
      <c r="BD821" s="1">
        <v>63</v>
      </c>
      <c r="BE821" s="1">
        <v>84</v>
      </c>
      <c r="BF821" s="1">
        <v>77</v>
      </c>
      <c r="BI821" s="1">
        <v>25</v>
      </c>
      <c r="BJ821" s="1">
        <v>69</v>
      </c>
      <c r="BK821" s="1">
        <v>31</v>
      </c>
      <c r="BL821" s="1">
        <v>20</v>
      </c>
      <c r="BO821" s="1">
        <v>83</v>
      </c>
      <c r="BP821" s="1">
        <v>82</v>
      </c>
      <c r="BQ821" s="1">
        <v>33</v>
      </c>
    </row>
    <row r="822" spans="1:99" x14ac:dyDescent="0.25">
      <c r="A822" s="4">
        <v>44672</v>
      </c>
      <c r="B822" s="30">
        <v>131</v>
      </c>
      <c r="C822" s="34">
        <v>1</v>
      </c>
      <c r="E822" s="40">
        <v>17486</v>
      </c>
      <c r="H822" s="26">
        <v>28</v>
      </c>
      <c r="I822" s="1">
        <v>1</v>
      </c>
      <c r="J822" s="22">
        <v>4</v>
      </c>
      <c r="K822" s="26">
        <v>6</v>
      </c>
      <c r="O822" s="1">
        <v>3</v>
      </c>
      <c r="P822" s="5">
        <v>17</v>
      </c>
      <c r="Q822" s="9">
        <v>90</v>
      </c>
      <c r="R822" s="18">
        <v>3</v>
      </c>
      <c r="T822" s="32">
        <v>78</v>
      </c>
      <c r="U822" s="32">
        <v>42</v>
      </c>
      <c r="V822" s="36">
        <v>282</v>
      </c>
      <c r="W822" s="33">
        <v>4</v>
      </c>
      <c r="AA822" s="33">
        <v>13</v>
      </c>
      <c r="AB822" s="33">
        <v>23</v>
      </c>
      <c r="AC822" s="32">
        <v>19</v>
      </c>
      <c r="AD822" s="18">
        <v>2</v>
      </c>
      <c r="AH822" s="33">
        <v>11</v>
      </c>
      <c r="AI822" s="30">
        <v>56</v>
      </c>
      <c r="AJ822" s="54">
        <v>0</v>
      </c>
      <c r="AN822" s="1">
        <v>102</v>
      </c>
      <c r="AQ822" s="1">
        <v>93</v>
      </c>
      <c r="AS822" s="1">
        <v>57</v>
      </c>
      <c r="AT822" s="1">
        <v>43</v>
      </c>
      <c r="AU822" s="1">
        <v>73</v>
      </c>
      <c r="AV822" s="1">
        <v>71</v>
      </c>
      <c r="AZ822" s="1">
        <v>80</v>
      </c>
      <c r="BA822" s="1">
        <v>91</v>
      </c>
      <c r="BC822" s="1">
        <v>76</v>
      </c>
      <c r="BD822" s="1">
        <v>63</v>
      </c>
      <c r="BE822" s="1">
        <v>84</v>
      </c>
      <c r="BF822" s="1">
        <v>77</v>
      </c>
      <c r="BI822" s="1">
        <v>25</v>
      </c>
      <c r="BJ822" s="1">
        <v>69</v>
      </c>
      <c r="BK822" s="1">
        <v>31</v>
      </c>
      <c r="BL822" s="1">
        <v>20</v>
      </c>
      <c r="BO822" s="1">
        <v>83</v>
      </c>
      <c r="BP822" s="1">
        <v>82</v>
      </c>
      <c r="BQ822" s="1">
        <v>33</v>
      </c>
    </row>
    <row r="823" spans="1:99" x14ac:dyDescent="0.25">
      <c r="A823" s="4">
        <v>44673</v>
      </c>
      <c r="B823" s="30">
        <v>131</v>
      </c>
      <c r="C823" s="34">
        <v>6</v>
      </c>
      <c r="E823" s="40">
        <v>22250</v>
      </c>
      <c r="H823" s="26">
        <v>17</v>
      </c>
      <c r="I823" s="1">
        <v>2</v>
      </c>
      <c r="J823" s="22">
        <v>5</v>
      </c>
      <c r="K823" s="26">
        <v>2</v>
      </c>
      <c r="N823" s="1">
        <v>2</v>
      </c>
      <c r="P823" s="5">
        <v>41</v>
      </c>
      <c r="Q823" s="9">
        <v>45</v>
      </c>
      <c r="R823" s="18">
        <v>9</v>
      </c>
      <c r="T823" s="32">
        <v>176</v>
      </c>
      <c r="U823" s="32">
        <v>45</v>
      </c>
      <c r="V823" s="36">
        <v>258</v>
      </c>
      <c r="W823" s="48">
        <v>2</v>
      </c>
      <c r="AA823" s="33">
        <v>7</v>
      </c>
      <c r="AB823" s="33">
        <v>23</v>
      </c>
      <c r="AC823" s="32">
        <v>10</v>
      </c>
      <c r="AH823" s="33">
        <v>14</v>
      </c>
      <c r="AI823" s="30">
        <v>61</v>
      </c>
      <c r="AJ823" s="54">
        <v>3</v>
      </c>
      <c r="AN823" s="1">
        <v>102</v>
      </c>
      <c r="AQ823" s="1">
        <v>93</v>
      </c>
      <c r="AS823" s="1">
        <v>57</v>
      </c>
      <c r="AT823" s="1">
        <v>43</v>
      </c>
      <c r="AU823" s="1">
        <v>73</v>
      </c>
      <c r="AV823" s="1">
        <v>71</v>
      </c>
      <c r="AZ823" s="1">
        <v>80</v>
      </c>
      <c r="BA823" s="1">
        <v>91</v>
      </c>
      <c r="BC823" s="1">
        <v>76</v>
      </c>
      <c r="BD823" s="1">
        <v>63</v>
      </c>
      <c r="BE823" s="1">
        <v>84</v>
      </c>
      <c r="BF823" s="1">
        <v>77</v>
      </c>
      <c r="BI823" s="1">
        <v>25</v>
      </c>
      <c r="BJ823" s="1">
        <v>69</v>
      </c>
      <c r="BK823" s="1">
        <v>31</v>
      </c>
      <c r="BO823" s="1">
        <v>83</v>
      </c>
      <c r="BP823" s="1">
        <v>82</v>
      </c>
      <c r="BQ823" s="1">
        <v>33</v>
      </c>
      <c r="CH823" s="1">
        <v>176</v>
      </c>
    </row>
    <row r="824" spans="1:99" x14ac:dyDescent="0.25">
      <c r="A824" s="4">
        <v>44674</v>
      </c>
      <c r="B824" s="30">
        <v>124</v>
      </c>
      <c r="C824" s="34">
        <v>22</v>
      </c>
      <c r="E824" s="40">
        <v>20517</v>
      </c>
      <c r="H824" s="26">
        <v>15</v>
      </c>
      <c r="I824" s="1">
        <v>0</v>
      </c>
      <c r="J824" s="22">
        <v>2</v>
      </c>
      <c r="K824" s="26">
        <v>2</v>
      </c>
      <c r="P824" s="5">
        <v>32</v>
      </c>
      <c r="Q824" s="9">
        <v>42</v>
      </c>
      <c r="R824" s="18">
        <v>4</v>
      </c>
      <c r="T824" s="32">
        <v>117</v>
      </c>
      <c r="U824" s="32">
        <v>37</v>
      </c>
      <c r="V824" s="36">
        <v>196</v>
      </c>
      <c r="W824" s="48">
        <v>5</v>
      </c>
      <c r="Z824" s="12">
        <v>5</v>
      </c>
      <c r="AA824" s="33">
        <v>0</v>
      </c>
      <c r="AB824" s="33">
        <v>48</v>
      </c>
      <c r="AC824" s="32">
        <v>5</v>
      </c>
      <c r="AH824" s="33">
        <v>8</v>
      </c>
      <c r="AI824" s="30">
        <v>34</v>
      </c>
      <c r="AJ824" s="54">
        <v>4</v>
      </c>
      <c r="AN824" s="1">
        <v>102</v>
      </c>
      <c r="AQ824" s="1">
        <v>93</v>
      </c>
      <c r="AS824" s="1">
        <v>57</v>
      </c>
      <c r="AU824" s="1">
        <v>73</v>
      </c>
      <c r="AV824" s="1">
        <v>71</v>
      </c>
      <c r="AZ824" s="1">
        <v>80</v>
      </c>
      <c r="BA824" s="1">
        <v>91</v>
      </c>
      <c r="BC824" s="1">
        <v>76</v>
      </c>
      <c r="BD824" s="1">
        <v>63</v>
      </c>
      <c r="BE824" s="1">
        <v>84</v>
      </c>
      <c r="BF824" s="1">
        <v>77</v>
      </c>
      <c r="BI824" s="1">
        <v>25</v>
      </c>
      <c r="BJ824" s="1">
        <v>69</v>
      </c>
      <c r="BK824" s="1">
        <v>31</v>
      </c>
      <c r="BO824" s="1">
        <v>83</v>
      </c>
      <c r="BP824" s="1">
        <v>82</v>
      </c>
      <c r="BQ824" s="1">
        <v>33</v>
      </c>
    </row>
    <row r="825" spans="1:99" x14ac:dyDescent="0.25">
      <c r="A825" s="4">
        <v>44675</v>
      </c>
      <c r="B825" s="30">
        <v>96</v>
      </c>
      <c r="C825" s="34">
        <v>19</v>
      </c>
      <c r="D825" s="1">
        <v>1</v>
      </c>
      <c r="E825" s="40">
        <v>18609</v>
      </c>
      <c r="H825" s="26">
        <v>29</v>
      </c>
      <c r="I825" s="1">
        <v>0</v>
      </c>
      <c r="J825" s="22">
        <v>3</v>
      </c>
      <c r="K825" s="26">
        <v>1</v>
      </c>
      <c r="P825" s="5">
        <v>23</v>
      </c>
      <c r="Q825" s="9">
        <v>38</v>
      </c>
      <c r="R825" s="18">
        <v>12</v>
      </c>
      <c r="T825" s="32">
        <v>74</v>
      </c>
      <c r="U825" s="32">
        <v>130</v>
      </c>
      <c r="V825" s="36">
        <v>147</v>
      </c>
      <c r="W825" s="48">
        <v>3</v>
      </c>
      <c r="Z825" s="12">
        <v>9</v>
      </c>
      <c r="AA825" s="33">
        <v>4</v>
      </c>
      <c r="AB825" s="33">
        <v>51</v>
      </c>
      <c r="AC825" s="32">
        <v>7</v>
      </c>
      <c r="AF825" s="36">
        <v>1</v>
      </c>
      <c r="AH825" s="33">
        <v>14</v>
      </c>
      <c r="AI825" s="30">
        <v>20</v>
      </c>
      <c r="AJ825" s="54">
        <v>2</v>
      </c>
      <c r="AN825" s="1">
        <v>102</v>
      </c>
      <c r="AQ825" s="1">
        <v>93</v>
      </c>
      <c r="AS825" s="1">
        <v>57</v>
      </c>
      <c r="AU825" s="1">
        <v>73</v>
      </c>
      <c r="AV825" s="1">
        <v>71</v>
      </c>
      <c r="AZ825" s="1">
        <v>80</v>
      </c>
      <c r="BA825" s="1">
        <v>91</v>
      </c>
      <c r="BC825" s="1">
        <v>76</v>
      </c>
      <c r="BD825" s="1">
        <v>63</v>
      </c>
      <c r="BE825" s="1">
        <v>84</v>
      </c>
      <c r="BF825" s="1">
        <v>77</v>
      </c>
      <c r="BI825" s="1">
        <v>25</v>
      </c>
      <c r="BJ825" s="1">
        <v>69</v>
      </c>
      <c r="BK825" s="1">
        <v>31</v>
      </c>
      <c r="BO825" s="1">
        <v>83</v>
      </c>
      <c r="BP825" s="1">
        <v>82</v>
      </c>
      <c r="BQ825" s="1">
        <v>33</v>
      </c>
    </row>
    <row r="826" spans="1:99" x14ac:dyDescent="0.25">
      <c r="A826" s="4">
        <v>44676</v>
      </c>
      <c r="B826" s="30">
        <v>114</v>
      </c>
      <c r="C826" s="34">
        <v>32</v>
      </c>
      <c r="D826" s="1">
        <v>2</v>
      </c>
      <c r="E826" s="40">
        <v>16012</v>
      </c>
      <c r="H826" s="26">
        <v>10</v>
      </c>
      <c r="I826" s="1">
        <v>0</v>
      </c>
      <c r="J826" s="22">
        <v>1</v>
      </c>
      <c r="K826" s="26">
        <v>2</v>
      </c>
      <c r="P826" s="5">
        <v>17</v>
      </c>
      <c r="Q826" s="9">
        <v>36</v>
      </c>
      <c r="R826" s="18">
        <v>2</v>
      </c>
      <c r="T826" s="32">
        <v>51</v>
      </c>
      <c r="U826" s="32">
        <v>137</v>
      </c>
      <c r="V826" s="36">
        <v>126</v>
      </c>
      <c r="W826" s="48">
        <v>64</v>
      </c>
      <c r="Z826" s="12">
        <v>6</v>
      </c>
      <c r="AA826" s="33">
        <v>2</v>
      </c>
      <c r="AB826" s="33">
        <v>64</v>
      </c>
      <c r="AC826" s="32">
        <v>1</v>
      </c>
      <c r="AF826" s="36">
        <v>3</v>
      </c>
      <c r="AH826" s="33">
        <v>6</v>
      </c>
      <c r="AI826" s="30">
        <v>38</v>
      </c>
      <c r="AJ826" s="54">
        <v>3</v>
      </c>
      <c r="AN826" s="1">
        <v>102</v>
      </c>
      <c r="AQ826" s="1">
        <v>93</v>
      </c>
      <c r="AS826" s="1">
        <v>57</v>
      </c>
      <c r="AU826" s="1">
        <v>73</v>
      </c>
      <c r="AV826" s="1">
        <v>71</v>
      </c>
      <c r="AZ826" s="1">
        <v>80</v>
      </c>
      <c r="BA826" s="1">
        <v>91</v>
      </c>
      <c r="BC826" s="1">
        <v>76</v>
      </c>
      <c r="BD826" s="1">
        <v>63</v>
      </c>
      <c r="BE826" s="1">
        <v>84</v>
      </c>
      <c r="BF826" s="1">
        <v>77</v>
      </c>
      <c r="BI826" s="1">
        <v>25</v>
      </c>
      <c r="BJ826" s="1">
        <v>69</v>
      </c>
      <c r="BK826" s="1">
        <v>31</v>
      </c>
      <c r="BO826" s="1">
        <v>83</v>
      </c>
      <c r="BP826" s="1">
        <v>82</v>
      </c>
      <c r="BQ826" s="1">
        <v>33</v>
      </c>
    </row>
    <row r="827" spans="1:99" x14ac:dyDescent="0.25">
      <c r="A827" s="4">
        <v>44677</v>
      </c>
      <c r="B827" s="30">
        <v>80</v>
      </c>
      <c r="C827" s="34">
        <v>37</v>
      </c>
      <c r="E827" s="40">
        <f>353+11956</f>
        <v>12309</v>
      </c>
      <c r="F827" s="1">
        <v>1</v>
      </c>
      <c r="H827" s="26">
        <v>9</v>
      </c>
      <c r="I827" s="1">
        <v>1</v>
      </c>
      <c r="K827" s="26">
        <v>2</v>
      </c>
      <c r="P827" s="5">
        <v>17</v>
      </c>
      <c r="Q827" s="9">
        <v>32</v>
      </c>
      <c r="R827" s="18">
        <v>2</v>
      </c>
      <c r="T827" s="32">
        <v>14</v>
      </c>
      <c r="U827" s="32">
        <v>96</v>
      </c>
      <c r="V827" s="36">
        <v>100</v>
      </c>
      <c r="W827" s="48">
        <v>102</v>
      </c>
      <c r="Z827" s="12">
        <v>7</v>
      </c>
      <c r="AB827" s="33">
        <v>69</v>
      </c>
      <c r="AC827" s="32">
        <v>1</v>
      </c>
      <c r="AF827" s="36">
        <f>2-1</f>
        <v>1</v>
      </c>
      <c r="AH827" s="33">
        <v>3</v>
      </c>
      <c r="AI827" s="30">
        <v>32</v>
      </c>
      <c r="AJ827" s="54">
        <v>2</v>
      </c>
      <c r="AN827" s="1">
        <v>102</v>
      </c>
      <c r="AQ827" s="1">
        <v>93</v>
      </c>
      <c r="AS827" s="1">
        <v>57</v>
      </c>
      <c r="AV827" s="1">
        <v>71</v>
      </c>
      <c r="AZ827" s="1">
        <v>80</v>
      </c>
      <c r="BA827" s="1">
        <v>91</v>
      </c>
      <c r="BC827" s="1">
        <v>76</v>
      </c>
      <c r="BD827" s="1">
        <v>63</v>
      </c>
      <c r="BE827" s="1">
        <v>84</v>
      </c>
      <c r="BF827" s="1">
        <v>77</v>
      </c>
      <c r="BJ827" s="1">
        <v>69</v>
      </c>
      <c r="BK827" s="1">
        <v>31</v>
      </c>
      <c r="BO827" s="1">
        <v>83</v>
      </c>
      <c r="BP827" s="1">
        <v>82</v>
      </c>
      <c r="BQ827" s="1">
        <v>33</v>
      </c>
    </row>
    <row r="828" spans="1:99" x14ac:dyDescent="0.25">
      <c r="A828" s="4">
        <v>44678</v>
      </c>
      <c r="B828" s="30">
        <v>74</v>
      </c>
      <c r="C828" s="34">
        <v>50</v>
      </c>
      <c r="E828" s="40">
        <v>9764</v>
      </c>
      <c r="F828" s="1">
        <v>1</v>
      </c>
      <c r="H828" s="26">
        <v>15</v>
      </c>
      <c r="I828" s="1">
        <v>1</v>
      </c>
      <c r="K828" s="18">
        <v>0</v>
      </c>
      <c r="L828" s="1">
        <v>1</v>
      </c>
      <c r="P828" s="5">
        <v>17</v>
      </c>
      <c r="Q828" s="9">
        <v>17</v>
      </c>
      <c r="R828" s="18">
        <v>1</v>
      </c>
      <c r="T828" s="32">
        <v>11</v>
      </c>
      <c r="U828" s="32">
        <v>89</v>
      </c>
      <c r="V828" s="36">
        <v>127</v>
      </c>
      <c r="W828" s="48">
        <v>55</v>
      </c>
      <c r="Z828" s="12">
        <v>9</v>
      </c>
      <c r="AB828" s="33">
        <v>90</v>
      </c>
      <c r="AC828" s="32">
        <v>1</v>
      </c>
      <c r="AD828" s="1">
        <v>1</v>
      </c>
      <c r="AF828" s="36">
        <v>2</v>
      </c>
      <c r="AG828" s="32">
        <v>2</v>
      </c>
      <c r="AH828" s="33">
        <v>1</v>
      </c>
      <c r="AI828" s="30">
        <v>22</v>
      </c>
      <c r="AJ828" s="54">
        <v>0</v>
      </c>
      <c r="AN828" s="1">
        <v>102</v>
      </c>
      <c r="AQ828" s="1">
        <v>93</v>
      </c>
      <c r="AS828" s="1">
        <v>57</v>
      </c>
      <c r="AV828" s="1">
        <v>71</v>
      </c>
      <c r="AZ828" s="1">
        <v>80</v>
      </c>
      <c r="BA828" s="1">
        <v>91</v>
      </c>
      <c r="BC828" s="1">
        <v>76</v>
      </c>
      <c r="BD828" s="1">
        <v>63</v>
      </c>
      <c r="BE828" s="1">
        <v>84</v>
      </c>
      <c r="BF828" s="1">
        <v>77</v>
      </c>
      <c r="BJ828" s="1">
        <v>69</v>
      </c>
      <c r="BK828" s="1">
        <v>31</v>
      </c>
      <c r="BO828" s="1">
        <v>83</v>
      </c>
      <c r="BP828" s="1">
        <v>82</v>
      </c>
      <c r="BQ828" s="1">
        <v>33</v>
      </c>
    </row>
    <row r="829" spans="1:99" x14ac:dyDescent="0.25">
      <c r="A829" s="4">
        <v>44679</v>
      </c>
      <c r="B829" s="30">
        <v>49</v>
      </c>
      <c r="C829" s="34">
        <v>49</v>
      </c>
      <c r="E829" s="40">
        <v>9970</v>
      </c>
      <c r="F829" s="1">
        <v>2</v>
      </c>
      <c r="H829" s="26">
        <v>23</v>
      </c>
      <c r="I829" s="1">
        <v>1</v>
      </c>
      <c r="J829" s="22">
        <v>14</v>
      </c>
      <c r="K829" s="18">
        <v>2</v>
      </c>
      <c r="P829" s="5">
        <v>6</v>
      </c>
      <c r="Q829" s="9">
        <v>10</v>
      </c>
      <c r="R829" s="18">
        <v>2</v>
      </c>
      <c r="T829" s="32">
        <v>4</v>
      </c>
      <c r="U829" s="32">
        <v>80</v>
      </c>
      <c r="V829" s="36">
        <v>56</v>
      </c>
      <c r="W829" s="48">
        <v>91</v>
      </c>
      <c r="X829" s="1">
        <v>1</v>
      </c>
      <c r="Z829" s="12">
        <v>3</v>
      </c>
      <c r="AB829" s="33">
        <v>44</v>
      </c>
      <c r="AF829" s="36">
        <v>5</v>
      </c>
      <c r="AG829" s="32">
        <v>18</v>
      </c>
      <c r="AH829" s="33">
        <v>3</v>
      </c>
      <c r="AI829" s="30">
        <v>23</v>
      </c>
      <c r="AJ829" s="54">
        <v>7</v>
      </c>
      <c r="AN829" s="1">
        <v>102</v>
      </c>
      <c r="AQ829" s="1">
        <v>93</v>
      </c>
      <c r="AS829" s="1">
        <v>57</v>
      </c>
      <c r="AV829" s="1">
        <v>71</v>
      </c>
      <c r="AZ829" s="1">
        <v>80</v>
      </c>
      <c r="BA829" s="1">
        <v>91</v>
      </c>
      <c r="BC829" s="1">
        <v>76</v>
      </c>
      <c r="BD829" s="1">
        <v>63</v>
      </c>
      <c r="BE829" s="1">
        <v>84</v>
      </c>
      <c r="BF829" s="1">
        <v>77</v>
      </c>
      <c r="BJ829" s="1">
        <v>69</v>
      </c>
      <c r="BO829" s="1">
        <v>83</v>
      </c>
      <c r="BP829" s="1">
        <v>82</v>
      </c>
      <c r="BQ829" s="1">
        <v>33</v>
      </c>
    </row>
    <row r="830" spans="1:99" x14ac:dyDescent="0.25">
      <c r="A830" s="4">
        <v>44680</v>
      </c>
      <c r="B830" s="30">
        <v>20</v>
      </c>
      <c r="C830" s="34">
        <v>52</v>
      </c>
      <c r="E830" s="40">
        <v>9196</v>
      </c>
      <c r="F830" s="1">
        <v>0</v>
      </c>
      <c r="H830" s="26">
        <v>19</v>
      </c>
      <c r="I830" s="1">
        <v>0</v>
      </c>
      <c r="J830" s="22">
        <v>42</v>
      </c>
      <c r="K830" s="18">
        <v>1</v>
      </c>
      <c r="P830" s="5">
        <v>5</v>
      </c>
      <c r="Q830" s="9">
        <v>5</v>
      </c>
      <c r="R830" s="18">
        <v>2</v>
      </c>
      <c r="T830" s="32">
        <v>2</v>
      </c>
      <c r="U830" s="32">
        <v>70</v>
      </c>
      <c r="V830" s="36">
        <v>42</v>
      </c>
      <c r="W830" s="48">
        <v>85</v>
      </c>
      <c r="Z830" s="12">
        <v>6</v>
      </c>
      <c r="AB830" s="33">
        <v>35</v>
      </c>
      <c r="AF830" s="36">
        <v>36</v>
      </c>
      <c r="AG830" s="32">
        <v>42</v>
      </c>
      <c r="AH830" s="33">
        <v>4</v>
      </c>
      <c r="AI830" s="30">
        <v>25</v>
      </c>
      <c r="AJ830" s="54">
        <v>1</v>
      </c>
      <c r="AN830" s="1">
        <v>102</v>
      </c>
      <c r="AQ830" s="1">
        <v>93</v>
      </c>
      <c r="AS830" s="1">
        <v>57</v>
      </c>
      <c r="AV830" s="1">
        <v>71</v>
      </c>
      <c r="AZ830" s="1">
        <v>80</v>
      </c>
      <c r="BA830" s="1">
        <v>91</v>
      </c>
      <c r="BC830" s="1">
        <v>76</v>
      </c>
      <c r="BD830" s="1">
        <v>63</v>
      </c>
      <c r="BE830" s="1">
        <v>84</v>
      </c>
      <c r="BF830" s="1">
        <v>77</v>
      </c>
      <c r="BJ830" s="1">
        <v>69</v>
      </c>
      <c r="BO830" s="1">
        <v>83</v>
      </c>
      <c r="BP830" s="1">
        <v>82</v>
      </c>
    </row>
    <row r="831" spans="1:99" x14ac:dyDescent="0.25">
      <c r="A831" s="4">
        <v>44681</v>
      </c>
      <c r="B831" s="29">
        <v>9</v>
      </c>
      <c r="C831" s="34">
        <v>59</v>
      </c>
      <c r="D831" s="1">
        <v>1</v>
      </c>
      <c r="E831" s="40">
        <v>7189</v>
      </c>
      <c r="F831" s="1">
        <v>1</v>
      </c>
      <c r="H831" s="26">
        <v>9</v>
      </c>
      <c r="I831" s="1">
        <v>0</v>
      </c>
      <c r="J831" s="22">
        <v>21</v>
      </c>
      <c r="K831" s="18">
        <v>0</v>
      </c>
      <c r="P831" s="10">
        <v>9</v>
      </c>
      <c r="Q831" s="9">
        <v>14</v>
      </c>
      <c r="R831" s="18">
        <v>2</v>
      </c>
      <c r="T831" s="1">
        <v>0</v>
      </c>
      <c r="U831" s="32">
        <v>62</v>
      </c>
      <c r="V831" s="36">
        <v>31</v>
      </c>
      <c r="W831" s="48">
        <v>47</v>
      </c>
      <c r="Z831" s="12">
        <v>2</v>
      </c>
      <c r="AB831" s="33">
        <v>20</v>
      </c>
      <c r="AF831" s="36">
        <v>10</v>
      </c>
      <c r="AG831" s="32">
        <v>48</v>
      </c>
      <c r="AH831" s="33">
        <v>1</v>
      </c>
      <c r="AI831" s="30">
        <v>18</v>
      </c>
      <c r="AN831" s="1">
        <v>102</v>
      </c>
      <c r="AQ831" s="1">
        <v>93</v>
      </c>
      <c r="AS831" s="1">
        <v>57</v>
      </c>
      <c r="AV831" s="1">
        <v>71</v>
      </c>
      <c r="AZ831" s="1">
        <v>80</v>
      </c>
      <c r="BA831" s="1">
        <v>91</v>
      </c>
      <c r="BC831" s="1">
        <v>76</v>
      </c>
      <c r="BD831" s="1">
        <v>63</v>
      </c>
      <c r="BE831" s="1">
        <v>84</v>
      </c>
      <c r="BF831" s="1">
        <v>77</v>
      </c>
      <c r="BJ831" s="1">
        <v>69</v>
      </c>
      <c r="BO831" s="1">
        <v>83</v>
      </c>
      <c r="BP831" s="1">
        <v>82</v>
      </c>
    </row>
    <row r="832" spans="1:99" x14ac:dyDescent="0.25">
      <c r="A832" s="4">
        <v>44682</v>
      </c>
      <c r="B832" s="29">
        <v>16</v>
      </c>
      <c r="C832" s="34">
        <v>39</v>
      </c>
      <c r="E832" s="40">
        <v>6804</v>
      </c>
      <c r="F832" s="1">
        <v>0</v>
      </c>
      <c r="H832" s="1">
        <v>0</v>
      </c>
      <c r="I832" s="1">
        <v>1</v>
      </c>
      <c r="J832" s="22">
        <v>18</v>
      </c>
      <c r="K832" s="18">
        <v>2</v>
      </c>
      <c r="P832" s="10">
        <v>5</v>
      </c>
      <c r="Q832" s="9">
        <v>28</v>
      </c>
      <c r="R832" s="18">
        <v>1</v>
      </c>
      <c r="T832" s="15">
        <v>4</v>
      </c>
      <c r="U832" s="32">
        <v>37</v>
      </c>
      <c r="V832" s="36">
        <v>20</v>
      </c>
      <c r="W832" s="48">
        <v>96</v>
      </c>
      <c r="Z832" s="12">
        <v>1</v>
      </c>
      <c r="AB832" s="33">
        <v>39</v>
      </c>
      <c r="AF832" s="36">
        <v>6</v>
      </c>
      <c r="AG832" s="32">
        <v>39</v>
      </c>
      <c r="AH832" s="33">
        <v>1</v>
      </c>
      <c r="AI832" s="30">
        <v>18</v>
      </c>
      <c r="AN832" s="1">
        <v>102</v>
      </c>
      <c r="AQ832" s="1">
        <v>93</v>
      </c>
      <c r="AS832" s="1">
        <v>57</v>
      </c>
      <c r="AV832" s="1">
        <v>71</v>
      </c>
      <c r="AZ832" s="1">
        <v>80</v>
      </c>
      <c r="BA832" s="1">
        <v>91</v>
      </c>
      <c r="BC832" s="1">
        <v>76</v>
      </c>
      <c r="BD832" s="1">
        <v>63</v>
      </c>
      <c r="BE832" s="1">
        <v>84</v>
      </c>
      <c r="BF832" s="1">
        <v>77</v>
      </c>
      <c r="BJ832" s="1">
        <v>69</v>
      </c>
      <c r="BO832" s="1">
        <v>83</v>
      </c>
      <c r="BP832" s="1">
        <v>82</v>
      </c>
    </row>
    <row r="833" spans="1:89" x14ac:dyDescent="0.25">
      <c r="A833" s="4">
        <v>44683</v>
      </c>
      <c r="B833" s="29">
        <v>13</v>
      </c>
      <c r="C833" s="34">
        <v>59</v>
      </c>
      <c r="E833" s="40">
        <v>5514</v>
      </c>
      <c r="F833" s="1">
        <v>1</v>
      </c>
      <c r="H833" s="1">
        <v>1</v>
      </c>
      <c r="I833" s="1">
        <v>3</v>
      </c>
      <c r="J833" s="22">
        <v>10</v>
      </c>
      <c r="K833" s="1">
        <v>0</v>
      </c>
      <c r="P833" s="10">
        <v>6</v>
      </c>
      <c r="Q833" s="9">
        <v>23</v>
      </c>
      <c r="R833" s="18">
        <v>0</v>
      </c>
      <c r="T833" s="15">
        <v>5</v>
      </c>
      <c r="U833" s="32">
        <v>34</v>
      </c>
      <c r="V833" s="36">
        <v>21</v>
      </c>
      <c r="W833" s="48">
        <v>82</v>
      </c>
      <c r="Z833" s="12">
        <v>1</v>
      </c>
      <c r="AB833" s="33">
        <v>14</v>
      </c>
      <c r="AC833" s="1">
        <v>1</v>
      </c>
      <c r="AF833" s="36">
        <v>1</v>
      </c>
      <c r="AG833" s="32">
        <v>26</v>
      </c>
      <c r="AH833" s="33">
        <v>2</v>
      </c>
      <c r="AI833" s="30">
        <v>34</v>
      </c>
      <c r="AN833" s="1">
        <v>102</v>
      </c>
      <c r="AQ833" s="1">
        <v>93</v>
      </c>
      <c r="AS833" s="1">
        <v>57</v>
      </c>
      <c r="AV833" s="1">
        <v>71</v>
      </c>
      <c r="AZ833" s="1">
        <v>80</v>
      </c>
      <c r="BA833" s="1">
        <v>91</v>
      </c>
      <c r="BC833" s="1">
        <v>76</v>
      </c>
      <c r="BD833" s="1">
        <v>63</v>
      </c>
      <c r="BE833" s="1">
        <v>84</v>
      </c>
      <c r="BF833" s="1">
        <v>77</v>
      </c>
      <c r="BJ833" s="1">
        <v>69</v>
      </c>
      <c r="BO833" s="1">
        <v>83</v>
      </c>
      <c r="BP833" s="1">
        <v>82</v>
      </c>
    </row>
    <row r="834" spans="1:89" x14ac:dyDescent="0.25">
      <c r="A834" s="4">
        <v>44684</v>
      </c>
      <c r="B834" s="29">
        <v>25</v>
      </c>
      <c r="C834" s="34">
        <v>51</v>
      </c>
      <c r="E834" s="40">
        <v>4831</v>
      </c>
      <c r="F834" s="1">
        <v>0</v>
      </c>
      <c r="H834" s="1">
        <v>1</v>
      </c>
      <c r="I834" s="1">
        <v>1</v>
      </c>
      <c r="J834" s="22">
        <v>12</v>
      </c>
      <c r="K834" s="1">
        <v>1</v>
      </c>
      <c r="P834" s="10">
        <v>44</v>
      </c>
      <c r="Q834" s="9">
        <v>10</v>
      </c>
      <c r="R834" s="18">
        <v>0</v>
      </c>
      <c r="T834" s="15">
        <v>28</v>
      </c>
      <c r="U834" s="32">
        <v>48</v>
      </c>
      <c r="V834" s="36">
        <v>40</v>
      </c>
      <c r="W834" s="48">
        <v>128</v>
      </c>
      <c r="AB834" s="33">
        <v>15</v>
      </c>
      <c r="AF834" s="36">
        <v>2</v>
      </c>
      <c r="AG834" s="32">
        <v>11</v>
      </c>
      <c r="AH834" s="33">
        <v>0</v>
      </c>
      <c r="AI834" s="30">
        <v>20</v>
      </c>
      <c r="AJ834" s="1">
        <v>1</v>
      </c>
      <c r="AN834" s="1">
        <v>102</v>
      </c>
      <c r="AQ834" s="1">
        <v>93</v>
      </c>
      <c r="AS834" s="1">
        <v>57</v>
      </c>
      <c r="AV834" s="1">
        <v>71</v>
      </c>
      <c r="AZ834" s="1">
        <v>80</v>
      </c>
      <c r="BA834" s="1">
        <v>91</v>
      </c>
      <c r="BC834" s="1">
        <v>76</v>
      </c>
      <c r="BD834" s="1">
        <v>63</v>
      </c>
      <c r="BE834" s="1">
        <v>84</v>
      </c>
      <c r="BF834" s="1">
        <v>77</v>
      </c>
      <c r="BJ834" s="1">
        <v>69</v>
      </c>
      <c r="BO834" s="1">
        <v>83</v>
      </c>
      <c r="BP834" s="1">
        <v>82</v>
      </c>
      <c r="CK834" s="1">
        <v>128</v>
      </c>
    </row>
    <row r="835" spans="1:89" x14ac:dyDescent="0.25">
      <c r="A835" s="4">
        <v>44685</v>
      </c>
      <c r="B835" s="29">
        <v>29</v>
      </c>
      <c r="C835" s="34">
        <v>50</v>
      </c>
      <c r="E835" s="40">
        <v>4466</v>
      </c>
      <c r="F835" s="1">
        <v>0</v>
      </c>
      <c r="H835" s="1">
        <v>0</v>
      </c>
      <c r="I835" s="1">
        <v>0</v>
      </c>
      <c r="J835" s="22">
        <v>17</v>
      </c>
      <c r="K835" s="1">
        <v>1</v>
      </c>
      <c r="P835" s="10">
        <v>40</v>
      </c>
      <c r="Q835" s="9">
        <v>4</v>
      </c>
      <c r="R835" s="18">
        <v>2</v>
      </c>
      <c r="T835" s="15">
        <v>19</v>
      </c>
      <c r="U835" s="32">
        <v>41</v>
      </c>
      <c r="V835" s="36">
        <v>22</v>
      </c>
      <c r="W835" s="48">
        <v>100</v>
      </c>
      <c r="AB835" s="33">
        <v>15</v>
      </c>
      <c r="AF835" s="36">
        <v>1</v>
      </c>
      <c r="AG835" s="32">
        <v>4</v>
      </c>
      <c r="AH835" s="33">
        <v>2</v>
      </c>
      <c r="AI835" s="30">
        <v>34</v>
      </c>
      <c r="AJ835" s="1">
        <v>1</v>
      </c>
      <c r="AN835" s="1">
        <v>102</v>
      </c>
      <c r="AQ835" s="1">
        <v>93</v>
      </c>
      <c r="AV835" s="1">
        <v>71</v>
      </c>
      <c r="AZ835" s="1">
        <v>80</v>
      </c>
      <c r="BA835" s="1">
        <v>91</v>
      </c>
      <c r="BC835" s="1">
        <v>76</v>
      </c>
      <c r="BD835" s="1">
        <v>63</v>
      </c>
      <c r="BE835" s="1">
        <v>84</v>
      </c>
      <c r="BF835" s="1">
        <v>77</v>
      </c>
      <c r="BJ835" s="1">
        <v>69</v>
      </c>
      <c r="BO835" s="1">
        <v>83</v>
      </c>
      <c r="BP835" s="1">
        <v>82</v>
      </c>
    </row>
    <row r="836" spans="1:89" x14ac:dyDescent="0.25">
      <c r="A836" s="4">
        <v>44686</v>
      </c>
      <c r="B836" s="29">
        <v>48</v>
      </c>
      <c r="C836" s="34">
        <v>72</v>
      </c>
      <c r="E836" s="40">
        <v>4088</v>
      </c>
      <c r="F836" s="1">
        <v>1</v>
      </c>
      <c r="H836" s="1">
        <v>0</v>
      </c>
      <c r="I836" s="1">
        <v>1</v>
      </c>
      <c r="J836" s="22">
        <v>8</v>
      </c>
      <c r="K836" s="1">
        <v>0</v>
      </c>
      <c r="L836" s="1">
        <v>2</v>
      </c>
      <c r="P836" s="10">
        <v>79</v>
      </c>
      <c r="Q836" s="9">
        <v>4</v>
      </c>
      <c r="R836" s="18">
        <v>2</v>
      </c>
      <c r="T836" s="15">
        <v>11</v>
      </c>
      <c r="U836" s="32">
        <v>17</v>
      </c>
      <c r="V836" s="36">
        <v>14</v>
      </c>
      <c r="W836" s="48">
        <v>61</v>
      </c>
      <c r="AB836" s="33">
        <v>5</v>
      </c>
      <c r="AF836" s="1">
        <v>0</v>
      </c>
      <c r="AG836" s="32">
        <v>0</v>
      </c>
      <c r="AH836" s="33">
        <v>2</v>
      </c>
      <c r="AI836" s="30">
        <v>24</v>
      </c>
      <c r="AN836" s="1">
        <v>102</v>
      </c>
      <c r="AQ836" s="1">
        <v>93</v>
      </c>
      <c r="AZ836" s="1">
        <v>80</v>
      </c>
      <c r="BA836" s="1">
        <v>91</v>
      </c>
      <c r="BC836" s="1">
        <v>76</v>
      </c>
      <c r="BD836" s="1">
        <v>63</v>
      </c>
      <c r="BE836" s="1">
        <v>84</v>
      </c>
      <c r="BF836" s="1">
        <v>77</v>
      </c>
      <c r="BJ836" s="1">
        <v>69</v>
      </c>
      <c r="BO836" s="1">
        <v>83</v>
      </c>
      <c r="BP836" s="1">
        <v>82</v>
      </c>
    </row>
    <row r="837" spans="1:89" x14ac:dyDescent="0.25">
      <c r="A837" s="4">
        <v>44687</v>
      </c>
      <c r="B837" s="29">
        <v>70</v>
      </c>
      <c r="C837" s="34">
        <v>49</v>
      </c>
      <c r="E837" s="40">
        <v>4039</v>
      </c>
      <c r="F837" s="1">
        <v>1</v>
      </c>
      <c r="H837" s="1">
        <v>2</v>
      </c>
      <c r="I837" s="1">
        <v>0</v>
      </c>
      <c r="J837" s="22">
        <v>8</v>
      </c>
      <c r="K837" s="1">
        <v>0</v>
      </c>
      <c r="L837" s="1">
        <v>1</v>
      </c>
      <c r="P837" s="10">
        <v>98</v>
      </c>
      <c r="Q837" s="9">
        <v>1</v>
      </c>
      <c r="R837" s="18">
        <v>2</v>
      </c>
      <c r="T837" s="15">
        <v>3</v>
      </c>
      <c r="U837" s="32">
        <v>10</v>
      </c>
      <c r="V837" s="36">
        <v>23</v>
      </c>
      <c r="W837" s="48">
        <v>99</v>
      </c>
      <c r="AA837" s="36">
        <v>1</v>
      </c>
      <c r="AB837" s="33">
        <v>4</v>
      </c>
      <c r="AF837" s="1">
        <v>3</v>
      </c>
      <c r="AG837" s="32">
        <v>3</v>
      </c>
      <c r="AI837" s="30">
        <v>18</v>
      </c>
      <c r="AN837" s="1">
        <v>102</v>
      </c>
      <c r="AQ837" s="1">
        <v>93</v>
      </c>
      <c r="AZ837" s="1">
        <v>80</v>
      </c>
      <c r="BA837" s="1">
        <v>91</v>
      </c>
      <c r="BC837" s="1">
        <v>76</v>
      </c>
      <c r="BD837" s="1">
        <v>63</v>
      </c>
      <c r="BE837" s="1">
        <v>84</v>
      </c>
      <c r="BF837" s="1">
        <v>77</v>
      </c>
      <c r="BJ837" s="1">
        <v>69</v>
      </c>
      <c r="BP837" s="1">
        <v>82</v>
      </c>
    </row>
    <row r="838" spans="1:89" x14ac:dyDescent="0.25">
      <c r="A838" s="4">
        <v>44688</v>
      </c>
      <c r="B838" s="29">
        <v>61</v>
      </c>
      <c r="C838" s="34">
        <v>62</v>
      </c>
      <c r="E838" s="40">
        <v>3840</v>
      </c>
      <c r="F838" s="1">
        <v>3</v>
      </c>
      <c r="H838" s="1">
        <v>0</v>
      </c>
      <c r="I838" s="1">
        <v>0</v>
      </c>
      <c r="J838" s="22">
        <v>22</v>
      </c>
      <c r="K838" s="1">
        <v>0</v>
      </c>
      <c r="L838" s="1">
        <v>0</v>
      </c>
      <c r="P838" s="10">
        <v>101</v>
      </c>
      <c r="Q838" s="9">
        <v>1</v>
      </c>
      <c r="R838" s="18">
        <v>0</v>
      </c>
      <c r="T838" s="15">
        <v>2</v>
      </c>
      <c r="U838" s="32">
        <v>8</v>
      </c>
      <c r="V838" s="36">
        <v>21</v>
      </c>
      <c r="W838" s="48">
        <v>85</v>
      </c>
      <c r="Z838" s="1">
        <v>1</v>
      </c>
      <c r="AA838" s="36">
        <v>6</v>
      </c>
      <c r="AB838" s="33">
        <v>1</v>
      </c>
      <c r="AF838" s="44">
        <v>1</v>
      </c>
      <c r="AI838" s="30">
        <v>27</v>
      </c>
      <c r="AJ838" s="1">
        <v>1</v>
      </c>
      <c r="AN838" s="1">
        <v>102</v>
      </c>
      <c r="AQ838" s="1">
        <v>93</v>
      </c>
      <c r="AZ838" s="1">
        <v>80</v>
      </c>
      <c r="BA838" s="1">
        <v>91</v>
      </c>
      <c r="BC838" s="1">
        <v>76</v>
      </c>
      <c r="BD838" s="1">
        <v>63</v>
      </c>
      <c r="BE838" s="1">
        <v>84</v>
      </c>
      <c r="BF838" s="1">
        <v>77</v>
      </c>
      <c r="BJ838" s="1">
        <v>69</v>
      </c>
      <c r="BP838" s="1">
        <v>82</v>
      </c>
    </row>
    <row r="839" spans="1:89" x14ac:dyDescent="0.25">
      <c r="A839" s="4">
        <v>44689</v>
      </c>
      <c r="B839" s="29">
        <v>62</v>
      </c>
      <c r="C839" s="34">
        <v>44</v>
      </c>
      <c r="E839" s="40">
        <v>3717</v>
      </c>
      <c r="F839" s="1">
        <v>0</v>
      </c>
      <c r="H839" s="1">
        <v>0</v>
      </c>
      <c r="I839" s="1">
        <v>0</v>
      </c>
      <c r="J839" s="22">
        <v>39</v>
      </c>
      <c r="K839" s="1">
        <v>0</v>
      </c>
      <c r="L839" s="1">
        <v>0</v>
      </c>
      <c r="P839" s="10">
        <v>60</v>
      </c>
      <c r="R839" s="18">
        <v>1</v>
      </c>
      <c r="T839" s="15">
        <v>1</v>
      </c>
      <c r="U839" s="32">
        <v>10</v>
      </c>
      <c r="V839" s="36">
        <v>3</v>
      </c>
      <c r="W839" s="48">
        <v>50</v>
      </c>
      <c r="AA839" s="36">
        <v>20</v>
      </c>
      <c r="AF839" s="44">
        <v>0</v>
      </c>
      <c r="AI839" s="30">
        <v>17</v>
      </c>
      <c r="AN839" s="1">
        <v>102</v>
      </c>
      <c r="AQ839" s="1">
        <v>93</v>
      </c>
      <c r="AZ839" s="1">
        <v>80</v>
      </c>
      <c r="BC839" s="1">
        <v>76</v>
      </c>
      <c r="BD839" s="1">
        <v>63</v>
      </c>
      <c r="BE839" s="1">
        <v>84</v>
      </c>
      <c r="BF839" s="1">
        <v>77</v>
      </c>
      <c r="BP839" s="1">
        <v>82</v>
      </c>
    </row>
    <row r="840" spans="1:89" x14ac:dyDescent="0.25">
      <c r="A840" s="4">
        <v>44690</v>
      </c>
      <c r="B840" s="29">
        <v>55</v>
      </c>
      <c r="C840" s="34">
        <v>71</v>
      </c>
      <c r="E840" s="40">
        <v>2858</v>
      </c>
      <c r="F840" s="1">
        <v>1</v>
      </c>
      <c r="H840" s="1">
        <v>0</v>
      </c>
      <c r="I840" s="1">
        <v>1</v>
      </c>
      <c r="J840" s="22">
        <v>18</v>
      </c>
      <c r="K840" s="1">
        <v>0</v>
      </c>
      <c r="L840" s="1">
        <v>1</v>
      </c>
      <c r="P840" s="10">
        <v>116</v>
      </c>
      <c r="T840" s="36">
        <v>1</v>
      </c>
      <c r="U840" s="32">
        <v>35</v>
      </c>
      <c r="V840" s="36">
        <v>6</v>
      </c>
      <c r="W840" s="48">
        <v>53</v>
      </c>
      <c r="AA840" s="36">
        <v>26</v>
      </c>
      <c r="AF840" s="44">
        <v>3</v>
      </c>
      <c r="AI840" s="30">
        <v>9</v>
      </c>
      <c r="AN840" s="1">
        <v>102</v>
      </c>
      <c r="AQ840" s="1">
        <v>93</v>
      </c>
      <c r="AZ840" s="1">
        <v>80</v>
      </c>
      <c r="BC840" s="1">
        <v>76</v>
      </c>
      <c r="BD840" s="1">
        <v>63</v>
      </c>
      <c r="BE840" s="1">
        <v>84</v>
      </c>
      <c r="BF840" s="1">
        <v>77</v>
      </c>
      <c r="BP840" s="1">
        <v>82</v>
      </c>
    </row>
    <row r="841" spans="1:89" x14ac:dyDescent="0.25">
      <c r="A841" s="4">
        <v>44691</v>
      </c>
      <c r="B841" s="29">
        <v>49</v>
      </c>
      <c r="C841" s="34">
        <v>35</v>
      </c>
      <c r="E841" s="40">
        <v>1289</v>
      </c>
      <c r="F841" s="1">
        <v>1</v>
      </c>
      <c r="H841" s="1">
        <v>1</v>
      </c>
      <c r="I841" s="1">
        <v>2</v>
      </c>
      <c r="J841" s="22">
        <v>20</v>
      </c>
      <c r="K841" s="1">
        <v>3</v>
      </c>
      <c r="L841" s="1">
        <v>2</v>
      </c>
      <c r="P841" s="10">
        <v>88</v>
      </c>
      <c r="T841" s="36">
        <v>5</v>
      </c>
      <c r="U841" s="32">
        <v>44</v>
      </c>
      <c r="V841" s="36">
        <v>4</v>
      </c>
      <c r="W841" s="48">
        <v>60</v>
      </c>
      <c r="AA841" s="36">
        <v>15</v>
      </c>
      <c r="AC841" s="1">
        <v>1</v>
      </c>
      <c r="AF841" s="44">
        <v>9</v>
      </c>
      <c r="AI841" s="30">
        <v>7</v>
      </c>
      <c r="AJ841" s="1">
        <v>2</v>
      </c>
      <c r="AN841" s="1">
        <v>102</v>
      </c>
      <c r="AQ841" s="1">
        <v>93</v>
      </c>
      <c r="AZ841" s="1">
        <v>80</v>
      </c>
      <c r="BC841" s="1">
        <v>76</v>
      </c>
      <c r="BD841" s="1">
        <v>63</v>
      </c>
      <c r="BE841" s="1">
        <v>84</v>
      </c>
      <c r="BF841" s="1">
        <v>77</v>
      </c>
      <c r="BP841" s="1">
        <v>82</v>
      </c>
    </row>
    <row r="842" spans="1:89" x14ac:dyDescent="0.25">
      <c r="A842" s="4">
        <v>44692</v>
      </c>
      <c r="B842" s="29">
        <v>47</v>
      </c>
      <c r="C842" s="34">
        <v>45</v>
      </c>
      <c r="E842" s="40">
        <v>1343</v>
      </c>
      <c r="F842" s="1">
        <v>0</v>
      </c>
      <c r="H842" s="1">
        <v>0</v>
      </c>
      <c r="I842" s="1">
        <v>0</v>
      </c>
      <c r="J842" s="22">
        <v>4</v>
      </c>
      <c r="K842" s="1">
        <v>2</v>
      </c>
      <c r="L842" s="1">
        <v>4</v>
      </c>
      <c r="P842" s="10">
        <v>98</v>
      </c>
      <c r="T842" s="36">
        <v>10</v>
      </c>
      <c r="U842" s="32">
        <v>14</v>
      </c>
      <c r="V842" s="36">
        <v>5</v>
      </c>
      <c r="W842" s="48">
        <v>85</v>
      </c>
      <c r="AA842" s="36">
        <v>38</v>
      </c>
      <c r="AB842" s="1">
        <v>1</v>
      </c>
      <c r="AF842" s="44">
        <v>25</v>
      </c>
      <c r="AI842" s="30">
        <v>20</v>
      </c>
      <c r="AN842" s="1">
        <v>102</v>
      </c>
      <c r="AQ842" s="1">
        <v>93</v>
      </c>
      <c r="AZ842" s="1">
        <v>80</v>
      </c>
      <c r="BC842" s="1">
        <v>76</v>
      </c>
      <c r="BD842" s="1">
        <v>63</v>
      </c>
      <c r="BE842" s="1">
        <v>84</v>
      </c>
      <c r="BF842" s="1">
        <v>77</v>
      </c>
      <c r="BP842" s="1">
        <v>82</v>
      </c>
    </row>
    <row r="843" spans="1:89" x14ac:dyDescent="0.25">
      <c r="A843" s="4">
        <v>44693</v>
      </c>
      <c r="B843" s="29">
        <v>35</v>
      </c>
      <c r="C843" s="34">
        <v>47</v>
      </c>
      <c r="D843" s="30">
        <v>1</v>
      </c>
      <c r="E843" s="40">
        <v>1929</v>
      </c>
      <c r="F843" s="1">
        <v>3</v>
      </c>
      <c r="H843" s="1">
        <v>0</v>
      </c>
      <c r="I843" s="1">
        <v>0</v>
      </c>
      <c r="J843" s="22">
        <v>10</v>
      </c>
      <c r="K843" s="1">
        <v>4</v>
      </c>
      <c r="L843" s="1">
        <v>0</v>
      </c>
      <c r="P843" s="10">
        <v>43</v>
      </c>
      <c r="T843" s="36">
        <v>5</v>
      </c>
      <c r="U843" s="32">
        <v>10</v>
      </c>
      <c r="V843" s="1">
        <v>0</v>
      </c>
      <c r="W843" s="48">
        <v>58</v>
      </c>
      <c r="AA843" s="36">
        <v>30</v>
      </c>
      <c r="AD843" s="1">
        <v>1</v>
      </c>
      <c r="AF843" s="44">
        <v>96</v>
      </c>
      <c r="AI843" s="30">
        <v>4</v>
      </c>
      <c r="AN843" s="1">
        <v>102</v>
      </c>
      <c r="AQ843" s="1">
        <v>93</v>
      </c>
      <c r="AZ843" s="1">
        <v>80</v>
      </c>
      <c r="BC843" s="1">
        <v>76</v>
      </c>
      <c r="BD843" s="1">
        <v>63</v>
      </c>
      <c r="BE843" s="1">
        <v>84</v>
      </c>
      <c r="BF843" s="1">
        <v>77</v>
      </c>
      <c r="BP843" s="1">
        <v>82</v>
      </c>
    </row>
    <row r="844" spans="1:89" x14ac:dyDescent="0.25">
      <c r="A844" s="4">
        <v>44694</v>
      </c>
      <c r="B844" s="29">
        <v>17</v>
      </c>
      <c r="C844" s="34">
        <v>55</v>
      </c>
      <c r="D844" s="30">
        <v>2</v>
      </c>
      <c r="E844" s="40">
        <v>1541</v>
      </c>
      <c r="F844" s="1">
        <v>1</v>
      </c>
      <c r="H844" s="30">
        <v>1</v>
      </c>
      <c r="I844" s="1">
        <v>1</v>
      </c>
      <c r="J844" s="22">
        <v>5</v>
      </c>
      <c r="K844" s="1">
        <v>1</v>
      </c>
      <c r="L844" s="1">
        <v>1</v>
      </c>
      <c r="P844" s="10">
        <v>47</v>
      </c>
      <c r="R844" s="1">
        <v>1</v>
      </c>
      <c r="T844" s="36">
        <v>2</v>
      </c>
      <c r="U844" s="32">
        <v>5</v>
      </c>
      <c r="V844" s="33">
        <v>1</v>
      </c>
      <c r="W844" s="48">
        <v>33</v>
      </c>
      <c r="AA844" s="36">
        <v>22</v>
      </c>
      <c r="AB844" s="1">
        <v>1</v>
      </c>
      <c r="AF844" s="44">
        <v>91</v>
      </c>
      <c r="AI844" s="30">
        <v>2</v>
      </c>
      <c r="AJ844" s="1">
        <v>1</v>
      </c>
      <c r="AN844" s="1">
        <v>102</v>
      </c>
      <c r="AQ844" s="1">
        <v>93</v>
      </c>
      <c r="AZ844" s="1">
        <v>80</v>
      </c>
      <c r="BC844" s="1">
        <v>76</v>
      </c>
      <c r="BD844" s="1">
        <v>63</v>
      </c>
      <c r="BE844" s="1">
        <v>84</v>
      </c>
      <c r="BF844" s="1">
        <v>77</v>
      </c>
      <c r="BP844" s="1">
        <v>82</v>
      </c>
    </row>
    <row r="845" spans="1:89" x14ac:dyDescent="0.25">
      <c r="A845" s="4">
        <v>44695</v>
      </c>
      <c r="B845" s="29">
        <v>9</v>
      </c>
      <c r="C845" s="34">
        <v>34</v>
      </c>
      <c r="D845" s="30">
        <v>0</v>
      </c>
      <c r="E845" s="40">
        <v>1258</v>
      </c>
      <c r="F845" s="1">
        <v>3</v>
      </c>
      <c r="H845" s="30">
        <v>7</v>
      </c>
      <c r="I845" s="1">
        <v>0</v>
      </c>
      <c r="J845" s="22">
        <v>1</v>
      </c>
      <c r="K845" s="1">
        <v>3</v>
      </c>
      <c r="L845" s="1">
        <v>4</v>
      </c>
      <c r="P845" s="10">
        <v>29</v>
      </c>
      <c r="T845" s="36">
        <v>9</v>
      </c>
      <c r="U845" s="32">
        <v>2</v>
      </c>
      <c r="V845" s="33">
        <v>2</v>
      </c>
      <c r="W845" s="48">
        <v>18</v>
      </c>
      <c r="AA845" s="36">
        <v>7</v>
      </c>
      <c r="AB845" s="1">
        <v>2</v>
      </c>
      <c r="AF845" s="44">
        <v>207</v>
      </c>
      <c r="AI845" s="30">
        <v>3</v>
      </c>
      <c r="AN845" s="1">
        <v>102</v>
      </c>
      <c r="AQ845" s="1">
        <v>93</v>
      </c>
      <c r="AZ845" s="1">
        <v>80</v>
      </c>
      <c r="BC845" s="1">
        <v>76</v>
      </c>
      <c r="BD845" s="1">
        <v>63</v>
      </c>
      <c r="BE845" s="1">
        <v>84</v>
      </c>
      <c r="BF845" s="1">
        <v>77</v>
      </c>
      <c r="BP845" s="1">
        <v>82</v>
      </c>
    </row>
    <row r="846" spans="1:89" x14ac:dyDescent="0.25">
      <c r="A846" s="4">
        <v>44696</v>
      </c>
      <c r="B846" s="29">
        <v>2</v>
      </c>
      <c r="C846" s="34">
        <f>34+15</f>
        <v>49</v>
      </c>
      <c r="D846" s="30">
        <v>4</v>
      </c>
      <c r="E846" s="40">
        <f>27+869</f>
        <v>896</v>
      </c>
      <c r="H846" s="30">
        <v>8</v>
      </c>
      <c r="I846" s="1">
        <v>0</v>
      </c>
      <c r="J846" s="22">
        <v>4</v>
      </c>
      <c r="K846" s="1">
        <v>1</v>
      </c>
      <c r="L846" s="1">
        <v>1</v>
      </c>
      <c r="P846" s="10">
        <v>21</v>
      </c>
      <c r="Q846" s="1">
        <v>2</v>
      </c>
      <c r="T846" s="36">
        <v>4</v>
      </c>
      <c r="V846" s="33">
        <v>3</v>
      </c>
      <c r="W846" s="48">
        <v>11</v>
      </c>
      <c r="AA846" s="36">
        <v>7</v>
      </c>
      <c r="AF846" s="44">
        <f>14+74</f>
        <v>88</v>
      </c>
      <c r="AH846" s="1">
        <v>1</v>
      </c>
      <c r="AI846" s="30">
        <v>0</v>
      </c>
      <c r="AJ846" s="1">
        <v>4</v>
      </c>
      <c r="AN846" s="1">
        <v>102</v>
      </c>
      <c r="AQ846" s="1">
        <v>93</v>
      </c>
      <c r="AZ846" s="1">
        <v>80</v>
      </c>
      <c r="BC846" s="1">
        <v>76</v>
      </c>
      <c r="BE846" s="1">
        <v>84</v>
      </c>
      <c r="BF846" s="1">
        <v>77</v>
      </c>
      <c r="BP846" s="1">
        <v>82</v>
      </c>
    </row>
    <row r="847" spans="1:89" x14ac:dyDescent="0.25">
      <c r="A847" s="4">
        <v>44697</v>
      </c>
      <c r="B847" s="29">
        <v>1</v>
      </c>
      <c r="C847" s="34">
        <v>44</v>
      </c>
      <c r="D847" s="30">
        <v>30</v>
      </c>
      <c r="E847" s="40">
        <v>777</v>
      </c>
      <c r="H847" s="30">
        <v>1</v>
      </c>
      <c r="I847" s="1">
        <v>1</v>
      </c>
      <c r="P847" s="10">
        <v>33</v>
      </c>
      <c r="T847" s="36">
        <v>2</v>
      </c>
      <c r="V847" s="33">
        <v>11</v>
      </c>
      <c r="W847" s="1">
        <v>0</v>
      </c>
      <c r="AA847" s="36">
        <v>3</v>
      </c>
      <c r="AF847" s="44">
        <v>87</v>
      </c>
      <c r="AI847" s="30">
        <v>1</v>
      </c>
      <c r="AN847" s="1">
        <v>102</v>
      </c>
      <c r="AQ847" s="1">
        <v>93</v>
      </c>
      <c r="AZ847" s="1">
        <v>80</v>
      </c>
      <c r="BC847" s="1">
        <v>76</v>
      </c>
      <c r="BE847" s="1">
        <v>84</v>
      </c>
      <c r="BF847" s="1">
        <v>77</v>
      </c>
      <c r="BP847" s="1">
        <v>82</v>
      </c>
    </row>
    <row r="848" spans="1:89" x14ac:dyDescent="0.25">
      <c r="A848" s="4">
        <v>44698</v>
      </c>
      <c r="B848" s="29">
        <v>4</v>
      </c>
      <c r="C848" s="34">
        <v>60</v>
      </c>
      <c r="D848" s="30">
        <v>45</v>
      </c>
      <c r="E848" s="40">
        <v>799</v>
      </c>
      <c r="H848" s="30">
        <v>15</v>
      </c>
      <c r="I848" s="1">
        <v>0</v>
      </c>
      <c r="J848" s="1">
        <v>1</v>
      </c>
      <c r="P848" s="10">
        <v>10</v>
      </c>
      <c r="V848" s="33">
        <v>11</v>
      </c>
      <c r="W848" s="32">
        <v>1</v>
      </c>
      <c r="AA848" s="36">
        <v>1</v>
      </c>
      <c r="AF848" s="44">
        <v>199</v>
      </c>
      <c r="AI848" s="30">
        <v>1</v>
      </c>
      <c r="AJ848" s="1">
        <v>1</v>
      </c>
      <c r="AN848" s="1">
        <v>102</v>
      </c>
      <c r="AQ848" s="1">
        <v>93</v>
      </c>
      <c r="AZ848" s="1">
        <v>80</v>
      </c>
      <c r="BE848" s="1">
        <v>84</v>
      </c>
      <c r="BF848" s="1">
        <v>77</v>
      </c>
      <c r="BP848" s="1">
        <v>82</v>
      </c>
    </row>
    <row r="849" spans="1:68" x14ac:dyDescent="0.25">
      <c r="A849" s="4">
        <v>44699</v>
      </c>
      <c r="B849" s="29">
        <v>2</v>
      </c>
      <c r="C849" s="34">
        <v>53</v>
      </c>
      <c r="D849" s="30">
        <v>29</v>
      </c>
      <c r="E849" s="40">
        <v>671</v>
      </c>
      <c r="H849" s="30">
        <v>12</v>
      </c>
      <c r="I849" s="1">
        <v>0</v>
      </c>
      <c r="J849" s="1">
        <v>2</v>
      </c>
      <c r="P849" s="10">
        <v>20</v>
      </c>
      <c r="V849" s="33">
        <v>19</v>
      </c>
      <c r="W849" s="32">
        <v>3</v>
      </c>
      <c r="AF849" s="44">
        <v>148</v>
      </c>
      <c r="AI849" s="30">
        <v>0</v>
      </c>
      <c r="AN849" s="1">
        <v>102</v>
      </c>
      <c r="AQ849" s="1">
        <v>93</v>
      </c>
      <c r="AZ849" s="1">
        <v>80</v>
      </c>
      <c r="BE849" s="1">
        <v>84</v>
      </c>
      <c r="BF849" s="1">
        <v>77</v>
      </c>
      <c r="BP849" s="1">
        <v>82</v>
      </c>
    </row>
    <row r="850" spans="1:68" x14ac:dyDescent="0.25">
      <c r="A850" s="4">
        <v>44700</v>
      </c>
      <c r="B850" s="29">
        <v>0</v>
      </c>
      <c r="C850" s="34">
        <v>56</v>
      </c>
      <c r="D850" s="30">
        <v>15</v>
      </c>
      <c r="E850" s="40">
        <f>17+770</f>
        <v>787</v>
      </c>
      <c r="H850" s="30">
        <v>6</v>
      </c>
      <c r="I850" s="1">
        <v>0</v>
      </c>
      <c r="J850" s="1">
        <v>3</v>
      </c>
      <c r="P850" s="10">
        <v>28</v>
      </c>
      <c r="U850" s="1">
        <v>1</v>
      </c>
      <c r="V850" s="33">
        <v>11</v>
      </c>
      <c r="W850" s="32">
        <v>2</v>
      </c>
      <c r="AF850" s="44">
        <v>122</v>
      </c>
      <c r="AI850" s="30">
        <v>1</v>
      </c>
      <c r="AJ850" s="1">
        <v>1</v>
      </c>
      <c r="AN850" s="1">
        <v>102</v>
      </c>
      <c r="AQ850" s="1">
        <v>93</v>
      </c>
      <c r="AZ850" s="1">
        <v>80</v>
      </c>
      <c r="BE850" s="1">
        <v>84</v>
      </c>
      <c r="BF850" s="1">
        <v>77</v>
      </c>
      <c r="BP850" s="1">
        <v>82</v>
      </c>
    </row>
    <row r="851" spans="1:68" x14ac:dyDescent="0.25">
      <c r="A851" s="4">
        <v>44701</v>
      </c>
      <c r="B851" s="29">
        <v>1</v>
      </c>
      <c r="C851" s="34">
        <v>68</v>
      </c>
      <c r="D851" s="30">
        <v>23</v>
      </c>
      <c r="E851" s="40">
        <v>819</v>
      </c>
      <c r="H851" s="30">
        <v>5</v>
      </c>
      <c r="I851" s="1">
        <v>0</v>
      </c>
      <c r="J851" s="1">
        <v>2</v>
      </c>
      <c r="P851" s="10">
        <v>39</v>
      </c>
      <c r="V851" s="33">
        <v>7</v>
      </c>
      <c r="W851" s="32">
        <v>4</v>
      </c>
      <c r="AB851" s="1">
        <v>1</v>
      </c>
      <c r="AF851" s="44">
        <v>94</v>
      </c>
      <c r="AI851" s="30">
        <v>2</v>
      </c>
      <c r="AJ851" s="1">
        <v>1</v>
      </c>
      <c r="AN851" s="1">
        <v>102</v>
      </c>
      <c r="AQ851" s="1">
        <v>93</v>
      </c>
      <c r="AZ851" s="1">
        <v>80</v>
      </c>
      <c r="BE851" s="1">
        <v>84</v>
      </c>
      <c r="BF851" s="1">
        <v>77</v>
      </c>
      <c r="BP851" s="1">
        <v>82</v>
      </c>
    </row>
    <row r="852" spans="1:68" x14ac:dyDescent="0.25">
      <c r="A852" s="4">
        <v>44702</v>
      </c>
      <c r="B852" s="29">
        <v>1</v>
      </c>
      <c r="C852" s="34">
        <v>60</v>
      </c>
      <c r="D852" s="30">
        <v>44</v>
      </c>
      <c r="E852" s="40">
        <v>593</v>
      </c>
      <c r="H852" s="30">
        <v>4</v>
      </c>
      <c r="I852" s="1">
        <v>1</v>
      </c>
      <c r="J852" s="1">
        <v>1</v>
      </c>
      <c r="P852" s="10">
        <v>18</v>
      </c>
      <c r="V852" s="33">
        <v>10</v>
      </c>
      <c r="W852" s="32">
        <v>1</v>
      </c>
      <c r="AD852" s="1">
        <v>1</v>
      </c>
      <c r="AF852" s="44">
        <v>44</v>
      </c>
      <c r="AI852" s="30">
        <v>1</v>
      </c>
      <c r="AN852" s="1">
        <v>102</v>
      </c>
      <c r="AQ852" s="1">
        <v>93</v>
      </c>
      <c r="AZ852" s="1">
        <v>80</v>
      </c>
      <c r="BE852" s="1">
        <v>84</v>
      </c>
      <c r="BF852" s="1">
        <v>77</v>
      </c>
      <c r="BP852" s="1">
        <v>82</v>
      </c>
    </row>
    <row r="853" spans="1:68" x14ac:dyDescent="0.25">
      <c r="A853" s="4">
        <v>44703</v>
      </c>
      <c r="B853" s="29">
        <v>0</v>
      </c>
      <c r="C853" s="34">
        <v>96</v>
      </c>
      <c r="D853" s="30">
        <v>27</v>
      </c>
      <c r="E853" s="40">
        <v>528</v>
      </c>
      <c r="H853" s="30">
        <v>3</v>
      </c>
      <c r="I853" s="1">
        <v>1</v>
      </c>
      <c r="J853" s="1">
        <v>1</v>
      </c>
      <c r="P853" s="10">
        <v>53</v>
      </c>
      <c r="U853" s="1">
        <v>2</v>
      </c>
      <c r="V853" s="33">
        <v>5</v>
      </c>
      <c r="W853" s="32">
        <v>0</v>
      </c>
      <c r="AF853" s="44">
        <v>29</v>
      </c>
      <c r="AI853" s="30">
        <v>1</v>
      </c>
      <c r="AN853" s="1">
        <v>102</v>
      </c>
      <c r="AQ853" s="1">
        <v>93</v>
      </c>
      <c r="AZ853" s="1">
        <v>80</v>
      </c>
      <c r="BE853" s="1">
        <v>84</v>
      </c>
      <c r="BP853" s="1">
        <v>82</v>
      </c>
    </row>
    <row r="854" spans="1:68" x14ac:dyDescent="0.25">
      <c r="A854" s="4">
        <v>44704</v>
      </c>
      <c r="B854" s="29">
        <v>1</v>
      </c>
      <c r="C854" s="34">
        <v>46</v>
      </c>
      <c r="D854" s="30">
        <v>18</v>
      </c>
      <c r="E854" s="40">
        <v>441</v>
      </c>
      <c r="I854" s="1">
        <v>1</v>
      </c>
      <c r="P854" s="10">
        <v>23</v>
      </c>
      <c r="U854" s="1">
        <v>1</v>
      </c>
      <c r="V854" s="33">
        <v>8</v>
      </c>
      <c r="W854" s="32">
        <v>0</v>
      </c>
      <c r="AB854" s="1">
        <v>1</v>
      </c>
      <c r="AD854" s="1">
        <v>4</v>
      </c>
      <c r="AF854" s="44">
        <v>35</v>
      </c>
      <c r="AI854" s="30">
        <v>4</v>
      </c>
      <c r="AN854" s="1">
        <v>102</v>
      </c>
      <c r="AQ854" s="1">
        <v>93</v>
      </c>
      <c r="AZ854" s="1">
        <v>80</v>
      </c>
      <c r="BE854" s="1">
        <v>84</v>
      </c>
      <c r="BP854" s="1">
        <v>82</v>
      </c>
    </row>
    <row r="855" spans="1:68" x14ac:dyDescent="0.25">
      <c r="A855" s="4">
        <v>44705</v>
      </c>
      <c r="B855" s="29">
        <v>1</v>
      </c>
      <c r="C855" s="34">
        <v>43</v>
      </c>
      <c r="D855" s="30">
        <v>17</v>
      </c>
      <c r="E855" s="40">
        <f>12+343</f>
        <v>355</v>
      </c>
      <c r="P855" s="10">
        <v>29</v>
      </c>
      <c r="U855" s="1">
        <v>1</v>
      </c>
      <c r="V855" s="33">
        <v>7</v>
      </c>
      <c r="W855" s="32">
        <v>11</v>
      </c>
      <c r="AF855" s="44">
        <v>8</v>
      </c>
      <c r="AG855" s="12">
        <v>4</v>
      </c>
      <c r="AI855" s="30">
        <v>5</v>
      </c>
    </row>
    <row r="856" spans="1:68" x14ac:dyDescent="0.25">
      <c r="A856" s="4">
        <v>44706</v>
      </c>
      <c r="B856" s="29">
        <v>4</v>
      </c>
      <c r="C856" s="34">
        <v>43</v>
      </c>
      <c r="D856" s="30">
        <v>18</v>
      </c>
      <c r="E856" s="40">
        <f>17+290</f>
        <v>307</v>
      </c>
      <c r="P856" s="10">
        <v>12</v>
      </c>
      <c r="U856" s="1">
        <v>2</v>
      </c>
      <c r="V856" s="33">
        <v>6</v>
      </c>
      <c r="W856" s="32">
        <v>6</v>
      </c>
      <c r="AB856" s="18">
        <v>1</v>
      </c>
      <c r="AF856" s="44">
        <v>12</v>
      </c>
      <c r="AG856" s="12">
        <v>4</v>
      </c>
      <c r="AI856" s="30">
        <v>1</v>
      </c>
    </row>
    <row r="857" spans="1:68" x14ac:dyDescent="0.25">
      <c r="A857" s="4">
        <v>44707</v>
      </c>
      <c r="B857" s="29">
        <v>2</v>
      </c>
      <c r="C857" s="34">
        <v>27</v>
      </c>
      <c r="D857" s="30">
        <v>9</v>
      </c>
      <c r="E857" s="40">
        <f>12+219</f>
        <v>231</v>
      </c>
      <c r="P857" s="10">
        <v>8</v>
      </c>
      <c r="Q857" s="1">
        <v>1</v>
      </c>
      <c r="U857" s="1">
        <v>1</v>
      </c>
      <c r="V857" s="33">
        <v>7</v>
      </c>
      <c r="W857" s="32">
        <v>9</v>
      </c>
      <c r="AB857" s="18">
        <v>3</v>
      </c>
      <c r="AF857" s="44">
        <v>8</v>
      </c>
      <c r="AG857" s="12">
        <v>8</v>
      </c>
      <c r="AH857" s="1">
        <v>1</v>
      </c>
      <c r="AI857" s="30">
        <v>1</v>
      </c>
    </row>
    <row r="858" spans="1:68" x14ac:dyDescent="0.25">
      <c r="A858" s="4">
        <v>44708</v>
      </c>
      <c r="B858" s="29">
        <v>6</v>
      </c>
      <c r="C858" s="34">
        <v>23</v>
      </c>
      <c r="D858" s="30">
        <v>7</v>
      </c>
      <c r="E858" s="40">
        <f>21+131</f>
        <v>152</v>
      </c>
      <c r="P858" s="10">
        <v>9</v>
      </c>
      <c r="T858" s="33">
        <v>3</v>
      </c>
      <c r="V858" s="33">
        <v>11</v>
      </c>
      <c r="W858" s="32">
        <v>11</v>
      </c>
      <c r="AB858" s="18">
        <v>7</v>
      </c>
      <c r="AF858" s="44">
        <v>3</v>
      </c>
      <c r="AG858" s="12">
        <v>9</v>
      </c>
      <c r="AH858" s="1">
        <v>1</v>
      </c>
      <c r="AI858" s="30">
        <v>2</v>
      </c>
    </row>
    <row r="859" spans="1:68" x14ac:dyDescent="0.25">
      <c r="A859" s="4">
        <v>44709</v>
      </c>
      <c r="B859" s="29">
        <v>3</v>
      </c>
      <c r="C859" s="34">
        <v>19</v>
      </c>
      <c r="D859" s="30">
        <v>11</v>
      </c>
      <c r="E859" s="40">
        <f>11+93</f>
        <v>104</v>
      </c>
      <c r="H859" s="1">
        <v>1</v>
      </c>
      <c r="P859" s="10">
        <v>9</v>
      </c>
      <c r="T859" s="33">
        <v>13</v>
      </c>
      <c r="V859" s="33">
        <v>10</v>
      </c>
      <c r="W859" s="32">
        <v>8</v>
      </c>
      <c r="AB859" s="18">
        <v>2</v>
      </c>
      <c r="AF859" s="44">
        <v>4</v>
      </c>
      <c r="AG859" s="12">
        <v>7</v>
      </c>
      <c r="AI859" s="30">
        <v>2</v>
      </c>
      <c r="AJ859" s="1">
        <v>1</v>
      </c>
    </row>
    <row r="860" spans="1:68" x14ac:dyDescent="0.25">
      <c r="A860" s="4">
        <v>44710</v>
      </c>
      <c r="C860" s="34">
        <f>8-1+4</f>
        <v>11</v>
      </c>
      <c r="D860" s="30">
        <v>6</v>
      </c>
      <c r="E860" s="40">
        <v>65</v>
      </c>
      <c r="P860" s="10">
        <v>2</v>
      </c>
      <c r="T860" s="33">
        <v>19</v>
      </c>
      <c r="V860" s="33">
        <v>5</v>
      </c>
      <c r="W860" s="32">
        <v>5</v>
      </c>
      <c r="AB860" s="18">
        <v>1</v>
      </c>
      <c r="AF860" s="44">
        <v>0</v>
      </c>
      <c r="AG860" s="12">
        <v>5</v>
      </c>
    </row>
    <row r="861" spans="1:68" x14ac:dyDescent="0.25">
      <c r="A861" s="4">
        <v>44711</v>
      </c>
      <c r="C861" s="34">
        <v>18</v>
      </c>
      <c r="D861" s="30">
        <v>5</v>
      </c>
      <c r="E861" s="40">
        <v>29</v>
      </c>
      <c r="P861" s="10">
        <v>0</v>
      </c>
      <c r="T861" s="33">
        <v>15</v>
      </c>
      <c r="V861" s="33">
        <v>8</v>
      </c>
      <c r="W861" s="32">
        <v>12</v>
      </c>
      <c r="AB861" s="18">
        <v>0</v>
      </c>
      <c r="AF861" s="44">
        <v>1</v>
      </c>
      <c r="AG861" s="12">
        <v>4</v>
      </c>
      <c r="AH861" s="1">
        <v>2</v>
      </c>
    </row>
    <row r="862" spans="1:68" x14ac:dyDescent="0.25">
      <c r="A862" s="4">
        <v>44712</v>
      </c>
      <c r="C862" s="34">
        <v>14</v>
      </c>
      <c r="D862" s="30">
        <v>0</v>
      </c>
      <c r="E862" s="40">
        <v>14</v>
      </c>
      <c r="H862" s="1">
        <v>1</v>
      </c>
      <c r="K862" s="18">
        <v>1</v>
      </c>
      <c r="P862" s="10">
        <v>2</v>
      </c>
      <c r="T862" s="33">
        <v>9</v>
      </c>
      <c r="U862" s="1">
        <v>1</v>
      </c>
      <c r="V862" s="33">
        <v>7</v>
      </c>
      <c r="W862" s="32">
        <v>4</v>
      </c>
      <c r="AB862" s="18">
        <v>7</v>
      </c>
      <c r="AF862" s="44">
        <v>3</v>
      </c>
      <c r="AG862" s="12">
        <v>1</v>
      </c>
      <c r="AH862" s="1">
        <v>1</v>
      </c>
    </row>
    <row r="863" spans="1:68" customFormat="1" x14ac:dyDescent="0.25">
      <c r="A863" s="4">
        <v>44713</v>
      </c>
      <c r="B863" s="1"/>
      <c r="C863" s="34">
        <v>14</v>
      </c>
      <c r="D863" s="30">
        <v>5</v>
      </c>
      <c r="E863" s="1"/>
      <c r="F863" s="1"/>
      <c r="G863" s="1"/>
      <c r="H863" s="1"/>
      <c r="I863" s="1"/>
      <c r="J863" s="1"/>
      <c r="K863" s="18">
        <v>9</v>
      </c>
      <c r="L863" s="1"/>
      <c r="M863" s="18"/>
      <c r="N863" s="1"/>
      <c r="O863" s="1"/>
      <c r="P863" s="10">
        <v>3</v>
      </c>
      <c r="Q863" s="1"/>
      <c r="R863" s="1"/>
      <c r="S863" s="18"/>
      <c r="T863" s="33">
        <v>3</v>
      </c>
      <c r="U863" s="1"/>
      <c r="V863" s="1"/>
      <c r="W863" s="32">
        <v>4</v>
      </c>
      <c r="X863" s="1"/>
      <c r="Y863" s="18"/>
      <c r="Z863" s="1"/>
      <c r="AA863" s="1"/>
      <c r="AB863" s="18">
        <v>5</v>
      </c>
      <c r="AC863" s="1"/>
      <c r="AD863" s="1"/>
      <c r="AE863" s="18"/>
      <c r="AF863" s="44">
        <v>3</v>
      </c>
      <c r="AG863" s="1"/>
      <c r="AH863" s="1">
        <v>1</v>
      </c>
      <c r="AI863" s="1"/>
      <c r="AJ863" s="1"/>
      <c r="AK863" s="1"/>
      <c r="AL863" s="1"/>
      <c r="AM863" s="11"/>
    </row>
    <row r="864" spans="1:68" customFormat="1" x14ac:dyDescent="0.25">
      <c r="A864" s="4">
        <v>44714</v>
      </c>
      <c r="B864" s="1">
        <v>1</v>
      </c>
      <c r="C864" s="34">
        <v>15</v>
      </c>
      <c r="D864" s="30">
        <v>3</v>
      </c>
      <c r="E864" s="1"/>
      <c r="F864" s="1"/>
      <c r="G864" s="1"/>
      <c r="H864" s="1"/>
      <c r="I864" s="1"/>
      <c r="J864" s="1"/>
      <c r="K864" s="18">
        <v>9</v>
      </c>
      <c r="L864" s="1"/>
      <c r="M864" s="18"/>
      <c r="N864" s="1"/>
      <c r="O864" s="1"/>
      <c r="P864" s="10">
        <v>2</v>
      </c>
      <c r="Q864" s="1"/>
      <c r="R864" s="1"/>
      <c r="S864" s="18"/>
      <c r="T864" s="33">
        <v>4</v>
      </c>
      <c r="U864" s="1"/>
      <c r="V864" s="1"/>
      <c r="W864" s="32">
        <v>7</v>
      </c>
      <c r="X864" s="1"/>
      <c r="Y864" s="18"/>
      <c r="Z864" s="56">
        <v>7</v>
      </c>
      <c r="AA864" s="1"/>
      <c r="AB864" s="18">
        <v>3</v>
      </c>
      <c r="AC864" s="1"/>
      <c r="AD864" s="1"/>
      <c r="AE864" s="18"/>
      <c r="AF864" s="44">
        <v>1</v>
      </c>
      <c r="AG864" s="1"/>
      <c r="AH864" s="1">
        <v>0</v>
      </c>
      <c r="AI864" s="1">
        <v>1</v>
      </c>
      <c r="AJ864" s="1"/>
      <c r="AK864" s="1"/>
      <c r="AL864" s="1"/>
      <c r="AM864" s="11"/>
    </row>
    <row r="865" spans="1:39" customFormat="1" x14ac:dyDescent="0.25">
      <c r="A865" s="4">
        <v>44715</v>
      </c>
      <c r="B865" s="1"/>
      <c r="C865" s="34">
        <v>5</v>
      </c>
      <c r="D865" s="1"/>
      <c r="E865" s="1"/>
      <c r="F865" s="1"/>
      <c r="G865" s="1"/>
      <c r="H865" s="1"/>
      <c r="I865" s="1"/>
      <c r="J865" s="1"/>
      <c r="K865" s="18">
        <v>3</v>
      </c>
      <c r="L865" s="1"/>
      <c r="M865" s="18"/>
      <c r="N865" s="1"/>
      <c r="O865" s="1"/>
      <c r="P865" s="10">
        <v>3</v>
      </c>
      <c r="Q865" s="1"/>
      <c r="R865" s="1"/>
      <c r="S865" s="18"/>
      <c r="T865" s="1"/>
      <c r="U865" s="1"/>
      <c r="V865" s="1"/>
      <c r="W865" s="32">
        <v>26</v>
      </c>
      <c r="X865" s="1"/>
      <c r="Y865" s="18"/>
      <c r="Z865" s="56">
        <v>16</v>
      </c>
      <c r="AA865" s="1"/>
      <c r="AB865" s="18">
        <v>0</v>
      </c>
      <c r="AC865" s="1"/>
      <c r="AD865" s="1"/>
      <c r="AE865" s="18"/>
      <c r="AF865" s="44">
        <v>3</v>
      </c>
      <c r="AG865" s="1"/>
      <c r="AH865" s="1">
        <v>1</v>
      </c>
      <c r="AI865" s="1"/>
      <c r="AJ865" s="1"/>
      <c r="AK865" s="1"/>
      <c r="AL865" s="1"/>
      <c r="AM865" s="11"/>
    </row>
    <row r="866" spans="1:39" customFormat="1" x14ac:dyDescent="0.25">
      <c r="A866" s="4">
        <v>44716</v>
      </c>
      <c r="B866" s="1"/>
      <c r="C866" s="34">
        <v>17</v>
      </c>
      <c r="D866" s="1"/>
      <c r="E866" s="1"/>
      <c r="F866" s="1"/>
      <c r="G866" s="1"/>
      <c r="H866" s="1"/>
      <c r="I866" s="1"/>
      <c r="J866" s="1"/>
      <c r="K866" s="18">
        <v>1</v>
      </c>
      <c r="L866" s="1"/>
      <c r="M866" s="18"/>
      <c r="N866" s="1"/>
      <c r="O866" s="1"/>
      <c r="P866" s="1"/>
      <c r="Q866" s="1"/>
      <c r="R866" s="1"/>
      <c r="S866" s="18"/>
      <c r="T866" s="1"/>
      <c r="U866" s="1"/>
      <c r="V866" s="1"/>
      <c r="W866" s="32">
        <v>25</v>
      </c>
      <c r="X866" s="1"/>
      <c r="Y866" s="18"/>
      <c r="Z866" s="56">
        <v>18</v>
      </c>
      <c r="AA866" s="1"/>
      <c r="AB866" s="18">
        <v>2</v>
      </c>
      <c r="AC866" s="1"/>
      <c r="AD866" s="1"/>
      <c r="AE866" s="18"/>
      <c r="AF866" s="44">
        <v>0</v>
      </c>
      <c r="AG866" s="1"/>
      <c r="AH866" s="1">
        <v>0</v>
      </c>
      <c r="AI866" s="1"/>
      <c r="AJ866" s="1"/>
      <c r="AK866" s="1"/>
      <c r="AL866" s="1"/>
      <c r="AM866" s="11"/>
    </row>
    <row r="867" spans="1:39" customFormat="1" x14ac:dyDescent="0.25">
      <c r="A867" s="4">
        <v>44717</v>
      </c>
      <c r="B867" s="1"/>
      <c r="C867" s="34">
        <v>5</v>
      </c>
      <c r="D867" s="1"/>
      <c r="E867" s="1"/>
      <c r="F867" s="1"/>
      <c r="G867" s="1"/>
      <c r="H867" s="1"/>
      <c r="I867" s="1"/>
      <c r="J867" s="1"/>
      <c r="K867" s="18">
        <v>2</v>
      </c>
      <c r="L867" s="1"/>
      <c r="M867" s="18"/>
      <c r="N867" s="1"/>
      <c r="O867" s="1"/>
      <c r="P867" s="1"/>
      <c r="Q867" s="1"/>
      <c r="R867" s="1"/>
      <c r="S867" s="18"/>
      <c r="T867" s="1"/>
      <c r="U867" s="1"/>
      <c r="V867" s="1"/>
      <c r="W867" s="32">
        <v>13</v>
      </c>
      <c r="X867" s="1"/>
      <c r="Y867" s="18"/>
      <c r="Z867" s="56">
        <v>49</v>
      </c>
      <c r="AA867" s="1"/>
      <c r="AB867" s="1"/>
      <c r="AC867" s="1"/>
      <c r="AD867" s="1"/>
      <c r="AE867" s="18"/>
      <c r="AF867" s="44">
        <v>5</v>
      </c>
      <c r="AG867" s="1"/>
      <c r="AH867" s="1">
        <v>1</v>
      </c>
      <c r="AI867" s="1"/>
      <c r="AJ867" s="1"/>
      <c r="AK867" s="1"/>
      <c r="AL867" s="1"/>
      <c r="AM867" s="11"/>
    </row>
    <row r="868" spans="1:39" customFormat="1" x14ac:dyDescent="0.25">
      <c r="A868" s="4">
        <v>44718</v>
      </c>
      <c r="B868" s="1"/>
      <c r="C868" s="34">
        <v>2</v>
      </c>
      <c r="D868" s="1"/>
      <c r="E868" s="1"/>
      <c r="F868" s="1"/>
      <c r="G868" s="1"/>
      <c r="H868" s="1"/>
      <c r="I868" s="1">
        <v>1</v>
      </c>
      <c r="J868" s="1"/>
      <c r="K868" s="18">
        <v>0</v>
      </c>
      <c r="L868" s="1"/>
      <c r="M868" s="18"/>
      <c r="N868" s="1"/>
      <c r="O868" s="1"/>
      <c r="P868" s="1"/>
      <c r="Q868" s="1"/>
      <c r="R868" s="1"/>
      <c r="S868" s="18"/>
      <c r="T868" s="1"/>
      <c r="U868" s="1"/>
      <c r="V868" s="1"/>
      <c r="W868" s="32">
        <v>19</v>
      </c>
      <c r="X868" s="1"/>
      <c r="Y868" s="18"/>
      <c r="Z868" s="56">
        <v>69</v>
      </c>
      <c r="AA868" s="1"/>
      <c r="AB868" s="1"/>
      <c r="AC868" s="1"/>
      <c r="AD868" s="1"/>
      <c r="AE868" s="18"/>
      <c r="AF868" s="44">
        <v>4</v>
      </c>
      <c r="AG868" s="1"/>
      <c r="AH868" s="1">
        <v>0</v>
      </c>
      <c r="AI868" s="1">
        <v>1</v>
      </c>
      <c r="AJ868" s="1"/>
      <c r="AK868" s="1"/>
      <c r="AL868" s="1"/>
      <c r="AM868" s="11"/>
    </row>
    <row r="869" spans="1:39" customFormat="1" x14ac:dyDescent="0.25">
      <c r="A869" s="4">
        <v>44719</v>
      </c>
      <c r="B869" s="1">
        <v>1</v>
      </c>
      <c r="C869" s="34">
        <v>7</v>
      </c>
      <c r="D869" s="1"/>
      <c r="E869" s="1"/>
      <c r="F869" s="1"/>
      <c r="G869" s="1"/>
      <c r="H869" s="1"/>
      <c r="I869" s="1">
        <v>2</v>
      </c>
      <c r="J869" s="1"/>
      <c r="K869" s="18">
        <v>0</v>
      </c>
      <c r="L869" s="1"/>
      <c r="M869" s="18"/>
      <c r="N869" s="1"/>
      <c r="O869" s="1"/>
      <c r="P869" s="1"/>
      <c r="Q869" s="1"/>
      <c r="R869" s="1"/>
      <c r="S869" s="18"/>
      <c r="T869" s="1"/>
      <c r="U869" s="1"/>
      <c r="V869" s="1"/>
      <c r="W869" s="32">
        <v>5</v>
      </c>
      <c r="X869" s="1"/>
      <c r="Y869" s="18"/>
      <c r="Z869" s="56">
        <v>81</v>
      </c>
      <c r="AA869" s="1"/>
      <c r="AB869" s="1"/>
      <c r="AC869" s="1"/>
      <c r="AD869" s="1"/>
      <c r="AE869" s="18"/>
      <c r="AF869" s="44">
        <v>4</v>
      </c>
      <c r="AG869" s="1"/>
      <c r="AH869" s="1">
        <v>3</v>
      </c>
      <c r="AI869" s="1">
        <v>2</v>
      </c>
      <c r="AJ869" s="1"/>
      <c r="AK869" s="1"/>
      <c r="AL869" s="1"/>
      <c r="AM869" s="11"/>
    </row>
    <row r="870" spans="1:39" customFormat="1" x14ac:dyDescent="0.25">
      <c r="A870" s="4">
        <v>44720</v>
      </c>
      <c r="B870" s="1"/>
      <c r="C870" s="1"/>
      <c r="D870" s="1"/>
      <c r="E870" s="1"/>
      <c r="F870" s="1"/>
      <c r="G870" s="1"/>
      <c r="H870" s="1"/>
      <c r="I870" s="1">
        <v>2</v>
      </c>
      <c r="J870" s="1"/>
      <c r="K870" s="18">
        <v>1</v>
      </c>
      <c r="L870" s="1"/>
      <c r="M870" s="18"/>
      <c r="N870" s="1"/>
      <c r="O870" s="1"/>
      <c r="P870" s="1">
        <v>1</v>
      </c>
      <c r="Q870" s="1"/>
      <c r="R870" s="1"/>
      <c r="S870" s="18"/>
      <c r="T870" s="1"/>
      <c r="U870" s="1"/>
      <c r="V870" s="1"/>
      <c r="W870" s="32">
        <v>5</v>
      </c>
      <c r="X870" s="1"/>
      <c r="Y870" s="18"/>
      <c r="Z870" s="56">
        <v>130</v>
      </c>
      <c r="AA870" s="1"/>
      <c r="AB870" s="1"/>
      <c r="AC870" s="1"/>
      <c r="AD870" s="1"/>
      <c r="AE870" s="18"/>
      <c r="AF870" s="1"/>
      <c r="AG870" s="1"/>
      <c r="AH870" s="1">
        <v>1</v>
      </c>
      <c r="AI870" s="1"/>
      <c r="AJ870" s="1"/>
      <c r="AK870" s="1"/>
      <c r="AL870" s="1"/>
      <c r="AM870" s="11"/>
    </row>
    <row r="871" spans="1:39" customFormat="1" x14ac:dyDescent="0.25">
      <c r="A871" s="4">
        <v>44721</v>
      </c>
      <c r="B871" s="1"/>
      <c r="C871" s="34">
        <v>8</v>
      </c>
      <c r="D871" s="1"/>
      <c r="E871" s="1"/>
      <c r="F871" s="1"/>
      <c r="G871" s="1"/>
      <c r="H871" s="1"/>
      <c r="I871" s="1">
        <v>1</v>
      </c>
      <c r="J871" s="1"/>
      <c r="K871" s="18">
        <v>2</v>
      </c>
      <c r="L871" s="1"/>
      <c r="M871" s="18"/>
      <c r="N871" s="1"/>
      <c r="O871" s="1"/>
      <c r="P871" s="1"/>
      <c r="Q871" s="1"/>
      <c r="R871" s="1"/>
      <c r="S871" s="18"/>
      <c r="T871" s="1"/>
      <c r="U871" s="1"/>
      <c r="V871" s="1"/>
      <c r="W871" s="32">
        <v>8</v>
      </c>
      <c r="X871" s="1"/>
      <c r="Y871" s="18"/>
      <c r="Z871" s="56">
        <v>34</v>
      </c>
      <c r="AA871" s="1"/>
      <c r="AB871" s="1"/>
      <c r="AC871" s="1"/>
      <c r="AD871" s="1"/>
      <c r="AE871" s="18"/>
      <c r="AF871" s="1"/>
      <c r="AG871" s="1"/>
      <c r="AH871" s="1">
        <v>0</v>
      </c>
      <c r="AI871" s="1"/>
      <c r="AJ871" s="1"/>
      <c r="AK871" s="1"/>
      <c r="AL871" s="1"/>
      <c r="AM871" s="11"/>
    </row>
    <row r="872" spans="1:39" customFormat="1" x14ac:dyDescent="0.25">
      <c r="A872" s="4">
        <v>44722</v>
      </c>
      <c r="B872" s="1"/>
      <c r="C872" s="34">
        <v>61</v>
      </c>
      <c r="D872" s="1"/>
      <c r="E872" s="1"/>
      <c r="F872" s="1"/>
      <c r="G872" s="1"/>
      <c r="H872" s="1"/>
      <c r="I872" s="1">
        <v>1</v>
      </c>
      <c r="J872" s="1"/>
      <c r="K872" s="18">
        <v>6</v>
      </c>
      <c r="L872" s="1"/>
      <c r="M872" s="18"/>
      <c r="N872" s="1">
        <v>1</v>
      </c>
      <c r="O872" s="1"/>
      <c r="P872" s="1"/>
      <c r="Q872" s="1"/>
      <c r="R872" s="1"/>
      <c r="S872" s="18"/>
      <c r="T872" s="1"/>
      <c r="U872" s="1"/>
      <c r="V872" s="1"/>
      <c r="W872" s="32">
        <v>6</v>
      </c>
      <c r="X872" s="1"/>
      <c r="Y872" s="18"/>
      <c r="Z872" s="56">
        <v>42</v>
      </c>
      <c r="AA872" s="1"/>
      <c r="AB872" s="1"/>
      <c r="AC872" s="1"/>
      <c r="AD872" s="1"/>
      <c r="AE872" s="18"/>
      <c r="AF872" s="1"/>
      <c r="AG872" s="1"/>
      <c r="AH872" s="1">
        <v>1</v>
      </c>
      <c r="AI872" s="1"/>
      <c r="AJ872" s="1"/>
      <c r="AK872" s="1"/>
      <c r="AL872" s="1"/>
      <c r="AM872" s="11"/>
    </row>
    <row r="873" spans="1:39" customFormat="1" x14ac:dyDescent="0.25">
      <c r="A873" s="4">
        <v>44723</v>
      </c>
      <c r="B873" s="1"/>
      <c r="C873" s="34">
        <v>64</v>
      </c>
      <c r="D873" s="1"/>
      <c r="E873" s="1"/>
      <c r="F873" s="1">
        <v>1</v>
      </c>
      <c r="G873" s="1"/>
      <c r="H873" s="1"/>
      <c r="I873" s="1">
        <v>1</v>
      </c>
      <c r="J873" s="1"/>
      <c r="K873" s="18">
        <v>4</v>
      </c>
      <c r="L873" s="1"/>
      <c r="M873" s="18"/>
      <c r="N873" s="1"/>
      <c r="O873" s="1"/>
      <c r="P873" s="1"/>
      <c r="Q873" s="1"/>
      <c r="R873" s="1"/>
      <c r="S873" s="18"/>
      <c r="T873" s="1">
        <v>1</v>
      </c>
      <c r="U873" s="1"/>
      <c r="V873" s="1"/>
      <c r="W873" s="32">
        <v>5</v>
      </c>
      <c r="X873" s="1"/>
      <c r="Y873" s="18"/>
      <c r="Z873" s="56">
        <v>35</v>
      </c>
      <c r="AA873" s="1"/>
      <c r="AB873" s="1"/>
      <c r="AC873" s="1"/>
      <c r="AD873" s="1"/>
      <c r="AE873" s="18"/>
      <c r="AF873" s="1"/>
      <c r="AG873" s="1"/>
      <c r="AH873" s="1">
        <v>3</v>
      </c>
      <c r="AI873" s="1"/>
      <c r="AJ873" s="1"/>
      <c r="AK873" s="1"/>
      <c r="AL873" s="1"/>
      <c r="AM873" s="11"/>
    </row>
    <row r="874" spans="1:39" customFormat="1" x14ac:dyDescent="0.25">
      <c r="A874" s="4">
        <v>44724</v>
      </c>
      <c r="B874" s="1"/>
      <c r="C874" s="34">
        <v>40</v>
      </c>
      <c r="D874" s="1"/>
      <c r="E874" s="1"/>
      <c r="F874" s="1">
        <v>3</v>
      </c>
      <c r="G874" s="1"/>
      <c r="H874" s="1"/>
      <c r="I874" s="1"/>
      <c r="J874" s="1"/>
      <c r="K874" s="18">
        <v>2</v>
      </c>
      <c r="L874" s="1"/>
      <c r="M874" s="18"/>
      <c r="N874" s="1"/>
      <c r="O874" s="1"/>
      <c r="P874" s="1"/>
      <c r="Q874" s="1"/>
      <c r="R874" s="1"/>
      <c r="S874" s="18"/>
      <c r="T874" s="1"/>
      <c r="U874" s="1"/>
      <c r="V874" s="1"/>
      <c r="W874" s="32">
        <v>1</v>
      </c>
      <c r="X874" s="1"/>
      <c r="Y874" s="18"/>
      <c r="Z874" s="56">
        <v>40</v>
      </c>
      <c r="AA874" s="1"/>
      <c r="AB874" s="1"/>
      <c r="AC874" s="1"/>
      <c r="AD874" s="1"/>
      <c r="AE874" s="18"/>
      <c r="AF874" s="1">
        <v>1</v>
      </c>
      <c r="AG874" s="1"/>
      <c r="AH874" s="1">
        <v>3</v>
      </c>
      <c r="AI874" s="1">
        <v>1</v>
      </c>
      <c r="AJ874" s="1"/>
      <c r="AK874" s="1"/>
      <c r="AL874" s="1"/>
      <c r="AM874" s="11"/>
    </row>
    <row r="875" spans="1:39" customFormat="1" x14ac:dyDescent="0.25">
      <c r="A875" s="4">
        <v>44725</v>
      </c>
      <c r="B875" s="1">
        <v>1</v>
      </c>
      <c r="C875" s="34">
        <v>74</v>
      </c>
      <c r="D875" s="1"/>
      <c r="E875" s="1"/>
      <c r="F875" s="1"/>
      <c r="G875" s="1"/>
      <c r="H875" s="1"/>
      <c r="I875" s="1"/>
      <c r="J875" s="1"/>
      <c r="K875" s="1"/>
      <c r="L875" s="1"/>
      <c r="M875" s="18"/>
      <c r="N875" s="1"/>
      <c r="O875" s="1"/>
      <c r="P875" s="1"/>
      <c r="Q875" s="1"/>
      <c r="R875" s="1"/>
      <c r="S875" s="18"/>
      <c r="T875" s="1"/>
      <c r="U875" s="1"/>
      <c r="V875" s="1"/>
      <c r="W875" s="32">
        <v>5</v>
      </c>
      <c r="X875" s="1"/>
      <c r="Y875" s="18"/>
      <c r="Z875" s="56">
        <v>21</v>
      </c>
      <c r="AA875" s="1"/>
      <c r="AB875" s="1"/>
      <c r="AC875" s="1"/>
      <c r="AD875" s="1"/>
      <c r="AE875" s="18"/>
      <c r="AF875" s="1">
        <v>2</v>
      </c>
      <c r="AG875" s="1"/>
      <c r="AH875" s="1">
        <v>3</v>
      </c>
      <c r="AI875" s="1">
        <v>1</v>
      </c>
      <c r="AJ875" s="1"/>
      <c r="AK875" s="1"/>
      <c r="AL875" s="1"/>
      <c r="AM875" s="11"/>
    </row>
    <row r="876" spans="1:39" customFormat="1" x14ac:dyDescent="0.25">
      <c r="A876" s="4">
        <v>44726</v>
      </c>
      <c r="B876" s="1"/>
      <c r="C876" s="34">
        <f>25+38</f>
        <v>63</v>
      </c>
      <c r="D876" s="1"/>
      <c r="E876" s="1"/>
      <c r="F876" s="1">
        <v>1</v>
      </c>
      <c r="G876" s="1"/>
      <c r="H876" s="1"/>
      <c r="I876" s="1"/>
      <c r="J876" s="1"/>
      <c r="K876" s="1"/>
      <c r="L876" s="1"/>
      <c r="M876" s="18"/>
      <c r="N876" s="1"/>
      <c r="O876" s="1"/>
      <c r="P876" s="1"/>
      <c r="Q876" s="1"/>
      <c r="R876" s="1"/>
      <c r="S876" s="18"/>
      <c r="T876" s="1">
        <v>2</v>
      </c>
      <c r="U876" s="1"/>
      <c r="V876" s="1"/>
      <c r="W876" s="32">
        <v>6</v>
      </c>
      <c r="X876" s="1"/>
      <c r="Y876" s="18"/>
      <c r="Z876" s="56">
        <v>16</v>
      </c>
      <c r="AA876" s="1"/>
      <c r="AB876" s="1"/>
      <c r="AC876" s="1"/>
      <c r="AD876" s="1"/>
      <c r="AE876" s="18"/>
      <c r="AF876" s="1"/>
      <c r="AG876" s="1"/>
      <c r="AH876" s="1">
        <v>1</v>
      </c>
      <c r="AI876" s="1">
        <v>1</v>
      </c>
      <c r="AJ876" s="1"/>
      <c r="AK876" s="1"/>
      <c r="AL876" s="1"/>
      <c r="AM876" s="11"/>
    </row>
    <row r="877" spans="1:39" customFormat="1" x14ac:dyDescent="0.25">
      <c r="A877" s="4">
        <v>44727</v>
      </c>
      <c r="B877" s="1"/>
      <c r="C877" s="34">
        <v>18</v>
      </c>
      <c r="D877" s="1"/>
      <c r="E877" s="1"/>
      <c r="F877" s="1"/>
      <c r="G877" s="1"/>
      <c r="H877" s="1"/>
      <c r="I877" s="1"/>
      <c r="J877" s="1"/>
      <c r="K877" s="18">
        <v>1</v>
      </c>
      <c r="L877" s="1"/>
      <c r="M877" s="18"/>
      <c r="N877" s="1"/>
      <c r="O877" s="1"/>
      <c r="P877" s="1"/>
      <c r="Q877" s="1"/>
      <c r="R877" s="1"/>
      <c r="S877" s="18"/>
      <c r="T877" s="1">
        <v>2</v>
      </c>
      <c r="U877" s="1"/>
      <c r="V877" s="1"/>
      <c r="W877" s="32">
        <v>6</v>
      </c>
      <c r="X877" s="1"/>
      <c r="Y877" s="18"/>
      <c r="Z877" s="56">
        <v>31</v>
      </c>
      <c r="AA877" s="1"/>
      <c r="AB877" s="1"/>
      <c r="AC877" s="1"/>
      <c r="AD877" s="1"/>
      <c r="AE877" s="18"/>
      <c r="AF877" s="1"/>
      <c r="AG877" s="1"/>
      <c r="AH877" s="1"/>
      <c r="AI877" s="1"/>
      <c r="AJ877" s="1"/>
      <c r="AK877" s="1"/>
      <c r="AL877" s="1"/>
      <c r="AM877" s="11"/>
    </row>
    <row r="878" spans="1:39" customFormat="1" x14ac:dyDescent="0.25">
      <c r="A878" s="4">
        <v>44728</v>
      </c>
      <c r="B878" s="1"/>
      <c r="C878" s="34">
        <v>21</v>
      </c>
      <c r="D878" s="1"/>
      <c r="E878" s="1"/>
      <c r="F878" s="1"/>
      <c r="G878" s="1"/>
      <c r="H878" s="1"/>
      <c r="I878" s="1"/>
      <c r="J878" s="1"/>
      <c r="K878" s="18">
        <v>1</v>
      </c>
      <c r="L878" s="1"/>
      <c r="M878" s="18"/>
      <c r="N878" s="1"/>
      <c r="O878" s="1"/>
      <c r="P878" s="1"/>
      <c r="Q878" s="1"/>
      <c r="R878" s="1"/>
      <c r="S878" s="18"/>
      <c r="T878" s="1">
        <v>1</v>
      </c>
      <c r="U878" s="1"/>
      <c r="V878" s="1"/>
      <c r="W878" s="32">
        <v>9</v>
      </c>
      <c r="X878" s="1"/>
      <c r="Y878" s="18"/>
      <c r="Z878" s="56">
        <v>18</v>
      </c>
      <c r="AA878" s="1"/>
      <c r="AB878" s="1"/>
      <c r="AC878" s="1"/>
      <c r="AD878" s="1"/>
      <c r="AE878" s="18"/>
      <c r="AF878" s="1">
        <v>1</v>
      </c>
      <c r="AG878" s="1"/>
      <c r="AH878" s="1">
        <v>1</v>
      </c>
      <c r="AI878" s="1"/>
      <c r="AJ878" s="1"/>
      <c r="AK878" s="1"/>
      <c r="AL878" s="1"/>
      <c r="AM878" s="11"/>
    </row>
    <row r="879" spans="1:39" customFormat="1" x14ac:dyDescent="0.25">
      <c r="A879" s="4">
        <v>44729</v>
      </c>
      <c r="B879" s="1"/>
      <c r="C879" s="34">
        <v>9</v>
      </c>
      <c r="D879" s="1"/>
      <c r="E879" s="1"/>
      <c r="F879" s="1"/>
      <c r="G879" s="1"/>
      <c r="H879" s="1"/>
      <c r="I879" s="1"/>
      <c r="J879" s="1"/>
      <c r="K879" s="18">
        <v>3</v>
      </c>
      <c r="L879" s="1"/>
      <c r="M879" s="18"/>
      <c r="N879" s="1"/>
      <c r="O879" s="1"/>
      <c r="P879" s="1"/>
      <c r="Q879" s="1"/>
      <c r="R879" s="1"/>
      <c r="S879" s="18"/>
      <c r="T879" s="1">
        <v>2</v>
      </c>
      <c r="U879" s="1"/>
      <c r="V879" s="1"/>
      <c r="W879" s="32">
        <v>6</v>
      </c>
      <c r="X879" s="1"/>
      <c r="Y879" s="18"/>
      <c r="Z879" s="56">
        <v>20</v>
      </c>
      <c r="AA879" s="1"/>
      <c r="AB879" s="1"/>
      <c r="AC879" s="1"/>
      <c r="AD879" s="1"/>
      <c r="AE879" s="18"/>
      <c r="AF879" s="1"/>
      <c r="AG879" s="1"/>
      <c r="AH879" s="1"/>
      <c r="AI879" s="1"/>
      <c r="AJ879" s="1"/>
      <c r="AK879" s="1"/>
      <c r="AL879" s="1"/>
      <c r="AM879" s="11"/>
    </row>
    <row r="880" spans="1:39" customFormat="1" x14ac:dyDescent="0.25">
      <c r="A880" s="4">
        <v>44730</v>
      </c>
      <c r="B880" s="1"/>
      <c r="C880" s="34">
        <v>1</v>
      </c>
      <c r="D880" s="1"/>
      <c r="E880" s="1"/>
      <c r="F880" s="1"/>
      <c r="G880" s="1"/>
      <c r="H880" s="1"/>
      <c r="I880" s="1"/>
      <c r="J880" s="18">
        <v>2</v>
      </c>
      <c r="K880" s="18">
        <v>1</v>
      </c>
      <c r="L880" s="1"/>
      <c r="M880" s="18"/>
      <c r="N880" s="1"/>
      <c r="O880" s="1"/>
      <c r="P880" s="1"/>
      <c r="Q880" s="1"/>
      <c r="R880" s="1"/>
      <c r="S880" s="18"/>
      <c r="T880" s="1"/>
      <c r="U880" s="1"/>
      <c r="V880" s="1"/>
      <c r="W880" s="32">
        <v>4</v>
      </c>
      <c r="X880" s="1"/>
      <c r="Y880" s="18"/>
      <c r="Z880" s="56">
        <v>5</v>
      </c>
      <c r="AA880" s="1"/>
      <c r="AB880" s="1"/>
      <c r="AC880" s="1"/>
      <c r="AD880" s="1"/>
      <c r="AE880" s="18"/>
      <c r="AF880" s="1"/>
      <c r="AG880" s="1">
        <v>1</v>
      </c>
      <c r="AH880" s="1"/>
      <c r="AI880" s="1">
        <v>1</v>
      </c>
      <c r="AJ880" s="1"/>
      <c r="AK880" s="1"/>
      <c r="AL880" s="1"/>
      <c r="AM880" s="11"/>
    </row>
    <row r="881" spans="1:39" customFormat="1" x14ac:dyDescent="0.25">
      <c r="A881" s="4">
        <v>44731</v>
      </c>
      <c r="B881" s="1"/>
      <c r="C881" s="34">
        <v>5</v>
      </c>
      <c r="D881" s="1"/>
      <c r="E881" s="1"/>
      <c r="F881" s="1"/>
      <c r="G881" s="1"/>
      <c r="H881" s="1"/>
      <c r="I881" s="1"/>
      <c r="J881" s="18"/>
      <c r="K881" s="18">
        <v>1</v>
      </c>
      <c r="L881" s="1"/>
      <c r="M881" s="18"/>
      <c r="N881" s="1"/>
      <c r="O881" s="1"/>
      <c r="P881" s="1"/>
      <c r="Q881" s="1"/>
      <c r="R881" s="1"/>
      <c r="S881" s="18"/>
      <c r="T881" s="1"/>
      <c r="U881" s="1"/>
      <c r="V881" s="1"/>
      <c r="W881" s="32">
        <v>2</v>
      </c>
      <c r="X881" s="1"/>
      <c r="Y881" s="18"/>
      <c r="Z881" s="56">
        <v>0</v>
      </c>
      <c r="AA881" s="1"/>
      <c r="AB881" s="1"/>
      <c r="AC881" s="1"/>
      <c r="AD881" s="1"/>
      <c r="AE881" s="18"/>
      <c r="AF881" s="1"/>
      <c r="AG881" s="1">
        <v>2</v>
      </c>
      <c r="AH881" s="1"/>
      <c r="AI881" s="1"/>
      <c r="AJ881" s="1"/>
      <c r="AK881" s="1"/>
      <c r="AL881" s="1"/>
      <c r="AM881" s="11"/>
    </row>
    <row r="882" spans="1:39" customFormat="1" x14ac:dyDescent="0.25">
      <c r="A882" s="4">
        <v>44732</v>
      </c>
      <c r="B882" s="1"/>
      <c r="C882" s="34">
        <v>5</v>
      </c>
      <c r="D882" s="1"/>
      <c r="E882" s="1"/>
      <c r="F882" s="1"/>
      <c r="G882" s="1"/>
      <c r="H882" s="1"/>
      <c r="I882" s="1"/>
      <c r="J882" s="18">
        <v>2</v>
      </c>
      <c r="K882" s="18">
        <v>2</v>
      </c>
      <c r="L882" s="1"/>
      <c r="M882" s="18"/>
      <c r="N882" s="1"/>
      <c r="O882" s="1"/>
      <c r="P882" s="1"/>
      <c r="Q882" s="1"/>
      <c r="R882" s="1"/>
      <c r="S882" s="18"/>
      <c r="T882" s="1"/>
      <c r="U882" s="1"/>
      <c r="V882" s="1"/>
      <c r="W882" s="32">
        <v>6</v>
      </c>
      <c r="X882" s="1"/>
      <c r="Y882" s="18"/>
      <c r="Z882" s="56">
        <v>0</v>
      </c>
      <c r="AA882" s="1"/>
      <c r="AB882" s="1"/>
      <c r="AC882" s="1"/>
      <c r="AD882" s="1"/>
      <c r="AE882" s="18"/>
      <c r="AF882" s="1"/>
      <c r="AG882" s="1"/>
      <c r="AH882" s="1"/>
      <c r="AI882" s="1"/>
      <c r="AJ882" s="1"/>
      <c r="AK882" s="1"/>
      <c r="AL882" s="1"/>
      <c r="AM882" s="11"/>
    </row>
    <row r="883" spans="1:39" customFormat="1" x14ac:dyDescent="0.25">
      <c r="A883" s="4">
        <v>44733</v>
      </c>
      <c r="B883" s="1"/>
      <c r="C883" s="34">
        <v>6</v>
      </c>
      <c r="D883" s="1"/>
      <c r="E883" s="1"/>
      <c r="F883" s="1"/>
      <c r="G883" s="1"/>
      <c r="H883" s="1"/>
      <c r="I883" s="1"/>
      <c r="J883" s="18">
        <v>1</v>
      </c>
      <c r="K883" s="18">
        <v>2</v>
      </c>
      <c r="L883" s="1"/>
      <c r="M883" s="18"/>
      <c r="N883" s="1"/>
      <c r="O883" s="1"/>
      <c r="P883" s="1"/>
      <c r="Q883" s="1"/>
      <c r="R883" s="1"/>
      <c r="S883" s="18"/>
      <c r="T883" s="1"/>
      <c r="U883" s="1"/>
      <c r="V883" s="1"/>
      <c r="W883" s="32">
        <v>4</v>
      </c>
      <c r="X883" s="1"/>
      <c r="Y883" s="18"/>
      <c r="Z883" s="56">
        <v>1</v>
      </c>
      <c r="AA883" s="1"/>
      <c r="AB883" s="1"/>
      <c r="AC883" s="1"/>
      <c r="AD883" s="1"/>
      <c r="AE883" s="18"/>
      <c r="AF883" s="1"/>
      <c r="AG883" s="1"/>
      <c r="AH883" s="1"/>
      <c r="AI883" s="1"/>
      <c r="AJ883" s="1"/>
      <c r="AK883" s="1"/>
      <c r="AL883" s="1"/>
      <c r="AM883" s="11"/>
    </row>
    <row r="884" spans="1:39" customFormat="1" x14ac:dyDescent="0.25">
      <c r="A884" s="4">
        <v>44734</v>
      </c>
      <c r="B884" s="1"/>
      <c r="C884" s="34">
        <v>3</v>
      </c>
      <c r="D884" s="1"/>
      <c r="E884" s="1"/>
      <c r="F884" s="1"/>
      <c r="G884" s="1"/>
      <c r="H884" s="1"/>
      <c r="I884" s="1"/>
      <c r="J884" s="18">
        <v>3</v>
      </c>
      <c r="K884" s="18">
        <v>3</v>
      </c>
      <c r="L884" s="1"/>
      <c r="M884" s="18"/>
      <c r="N884" s="1"/>
      <c r="O884" s="1"/>
      <c r="P884" s="1"/>
      <c r="Q884" s="1"/>
      <c r="R884" s="1"/>
      <c r="S884" s="18"/>
      <c r="T884" s="1"/>
      <c r="U884" s="1"/>
      <c r="V884" s="1"/>
      <c r="W884" s="32">
        <v>5</v>
      </c>
      <c r="X884" s="1"/>
      <c r="Y884" s="18"/>
      <c r="Z884" s="56">
        <v>1</v>
      </c>
      <c r="AA884" s="1"/>
      <c r="AB884" s="1"/>
      <c r="AC884" s="1"/>
      <c r="AD884" s="1"/>
      <c r="AE884" s="18"/>
      <c r="AF884" s="1"/>
      <c r="AG884" s="1"/>
      <c r="AH884" s="1"/>
      <c r="AI884" s="1"/>
      <c r="AJ884" s="1"/>
      <c r="AK884" s="1"/>
      <c r="AL884" s="1"/>
      <c r="AM884" s="11"/>
    </row>
    <row r="885" spans="1:39" customFormat="1" x14ac:dyDescent="0.25">
      <c r="A885" s="4">
        <v>44735</v>
      </c>
      <c r="B885" s="1"/>
      <c r="C885" s="34">
        <v>3</v>
      </c>
      <c r="D885" s="1"/>
      <c r="E885" s="1"/>
      <c r="F885" s="1"/>
      <c r="G885" s="1"/>
      <c r="H885" s="1"/>
      <c r="I885" s="1"/>
      <c r="J885" s="18">
        <v>5</v>
      </c>
      <c r="K885" s="18">
        <v>4</v>
      </c>
      <c r="L885" s="1"/>
      <c r="M885" s="18"/>
      <c r="N885" s="1"/>
      <c r="O885" s="1"/>
      <c r="P885" s="1"/>
      <c r="Q885" s="1"/>
      <c r="R885" s="1"/>
      <c r="S885" s="18"/>
      <c r="T885" s="1"/>
      <c r="U885" s="1"/>
      <c r="V885" s="1"/>
      <c r="W885" s="32">
        <v>7</v>
      </c>
      <c r="X885" s="1"/>
      <c r="Y885" s="18"/>
      <c r="Z885" s="56">
        <v>1</v>
      </c>
      <c r="AA885" s="1"/>
      <c r="AB885" s="1"/>
      <c r="AC885" s="1"/>
      <c r="AD885" s="1"/>
      <c r="AE885" s="18"/>
      <c r="AF885" s="1"/>
      <c r="AG885" s="1"/>
      <c r="AH885" s="1"/>
      <c r="AI885" s="1"/>
      <c r="AJ885" s="1"/>
      <c r="AK885" s="1"/>
      <c r="AL885" s="1"/>
      <c r="AM885" s="11"/>
    </row>
    <row r="886" spans="1:39" customFormat="1" x14ac:dyDescent="0.25">
      <c r="A886" s="4">
        <v>44736</v>
      </c>
      <c r="B886" s="1"/>
      <c r="C886" s="34">
        <v>2</v>
      </c>
      <c r="D886" s="1"/>
      <c r="E886" s="1"/>
      <c r="F886" s="1"/>
      <c r="G886" s="1"/>
      <c r="H886" s="1"/>
      <c r="I886" s="1"/>
      <c r="J886" s="18">
        <v>6</v>
      </c>
      <c r="K886" s="18">
        <v>2</v>
      </c>
      <c r="L886" s="1"/>
      <c r="M886" s="18"/>
      <c r="N886" s="1"/>
      <c r="O886" s="1"/>
      <c r="P886" s="1"/>
      <c r="Q886" s="1"/>
      <c r="R886" s="1"/>
      <c r="S886" s="18"/>
      <c r="T886" s="1"/>
      <c r="U886" s="1"/>
      <c r="V886" s="1"/>
      <c r="W886" s="32">
        <v>8</v>
      </c>
      <c r="X886" s="1"/>
      <c r="Y886" s="18"/>
      <c r="Z886" s="1"/>
      <c r="AA886" s="1"/>
      <c r="AB886" s="1"/>
      <c r="AC886" s="1"/>
      <c r="AD886" s="1"/>
      <c r="AE886" s="18"/>
      <c r="AF886" s="1"/>
      <c r="AG886" s="1"/>
      <c r="AH886" s="1">
        <v>2</v>
      </c>
      <c r="AI886" s="1"/>
      <c r="AJ886" s="1"/>
      <c r="AK886" s="1"/>
      <c r="AL886" s="1"/>
      <c r="AM886" s="11"/>
    </row>
    <row r="887" spans="1:39" customFormat="1" x14ac:dyDescent="0.25">
      <c r="A887" s="4">
        <v>44737</v>
      </c>
      <c r="B887" s="1"/>
      <c r="C887" s="34">
        <v>1</v>
      </c>
      <c r="D887" s="1"/>
      <c r="E887" s="1"/>
      <c r="F887" s="1"/>
      <c r="G887" s="1"/>
      <c r="H887" s="1"/>
      <c r="I887" s="1"/>
      <c r="J887" s="18">
        <v>5</v>
      </c>
      <c r="K887" s="18">
        <v>1</v>
      </c>
      <c r="L887" s="1"/>
      <c r="M887" s="18"/>
      <c r="N887" s="1"/>
      <c r="O887" s="1"/>
      <c r="P887" s="1"/>
      <c r="Q887" s="1"/>
      <c r="R887" s="1"/>
      <c r="S887" s="18"/>
      <c r="T887" s="1"/>
      <c r="U887" s="1"/>
      <c r="V887" s="1"/>
      <c r="W887" s="32">
        <v>7</v>
      </c>
      <c r="X887" s="1"/>
      <c r="Y887" s="18"/>
      <c r="Z887" s="1"/>
      <c r="AA887" s="1"/>
      <c r="AB887" s="1"/>
      <c r="AC887" s="1"/>
      <c r="AD887" s="1"/>
      <c r="AE887" s="18"/>
      <c r="AF887" s="1"/>
      <c r="AG887" s="1"/>
      <c r="AH887" s="1"/>
      <c r="AI887" s="1"/>
      <c r="AJ887" s="1"/>
      <c r="AK887" s="1"/>
      <c r="AL887" s="1"/>
      <c r="AM887" s="11"/>
    </row>
    <row r="888" spans="1:39" customFormat="1" x14ac:dyDescent="0.25">
      <c r="A888" s="4">
        <v>44738</v>
      </c>
      <c r="B888" s="1"/>
      <c r="C888" s="34">
        <v>4</v>
      </c>
      <c r="D888" s="1"/>
      <c r="E888" s="1"/>
      <c r="F888" s="1"/>
      <c r="G888" s="1"/>
      <c r="H888" s="30">
        <v>3</v>
      </c>
      <c r="I888" s="1"/>
      <c r="J888" s="18">
        <v>3</v>
      </c>
      <c r="K888" s="18">
        <v>2</v>
      </c>
      <c r="L888" s="1"/>
      <c r="M888" s="18"/>
      <c r="N888" s="1"/>
      <c r="O888" s="1"/>
      <c r="P888" s="1"/>
      <c r="Q888" s="1"/>
      <c r="R888" s="1"/>
      <c r="S888" s="18"/>
      <c r="T888" s="1"/>
      <c r="U888" s="1"/>
      <c r="V888" s="1"/>
      <c r="W888" s="32">
        <v>6</v>
      </c>
      <c r="X888" s="1"/>
      <c r="Y888" s="18"/>
      <c r="Z888" s="1"/>
      <c r="AA888" s="1"/>
      <c r="AB888" s="1"/>
      <c r="AC888" s="1"/>
      <c r="AD888" s="1"/>
      <c r="AE888" s="18"/>
      <c r="AF888" s="1"/>
      <c r="AG888" s="1"/>
      <c r="AH888" s="1">
        <v>1</v>
      </c>
      <c r="AI888" s="1"/>
      <c r="AJ888" s="1"/>
      <c r="AK888" s="1"/>
      <c r="AL888" s="1"/>
      <c r="AM888" s="11"/>
    </row>
    <row r="889" spans="1:39" customFormat="1" x14ac:dyDescent="0.25">
      <c r="A889" s="4">
        <v>44739</v>
      </c>
      <c r="B889" s="1"/>
      <c r="C889" s="34">
        <v>0</v>
      </c>
      <c r="D889" s="1">
        <v>4</v>
      </c>
      <c r="E889" s="1"/>
      <c r="F889" s="1"/>
      <c r="G889" s="1"/>
      <c r="H889" s="30">
        <v>6</v>
      </c>
      <c r="I889" s="1"/>
      <c r="J889" s="18">
        <v>5</v>
      </c>
      <c r="K889" s="18">
        <v>3</v>
      </c>
      <c r="L889" s="1"/>
      <c r="M889" s="18"/>
      <c r="N889" s="1"/>
      <c r="O889" s="1"/>
      <c r="P889" s="1"/>
      <c r="Q889" s="1"/>
      <c r="R889" s="1"/>
      <c r="S889" s="18"/>
      <c r="T889" s="1"/>
      <c r="U889" s="1"/>
      <c r="V889" s="1"/>
      <c r="W889" s="32">
        <v>4</v>
      </c>
      <c r="X889" s="1"/>
      <c r="Y889" s="18"/>
      <c r="Z889" s="1"/>
      <c r="AA889" s="1"/>
      <c r="AB889" s="1"/>
      <c r="AC889" s="1"/>
      <c r="AD889" s="1"/>
      <c r="AE889" s="18"/>
      <c r="AF889" s="1"/>
      <c r="AG889" s="1"/>
      <c r="AH889" s="1"/>
      <c r="AI889" s="1"/>
      <c r="AJ889" s="1"/>
      <c r="AK889" s="1"/>
      <c r="AL889" s="1"/>
      <c r="AM889" s="11"/>
    </row>
    <row r="890" spans="1:39" customFormat="1" x14ac:dyDescent="0.25">
      <c r="A890" s="4">
        <v>44740</v>
      </c>
      <c r="B890" s="13">
        <v>6</v>
      </c>
      <c r="C890" s="34">
        <v>1</v>
      </c>
      <c r="D890" s="1">
        <v>9</v>
      </c>
      <c r="E890" s="1"/>
      <c r="F890" s="1"/>
      <c r="G890" s="1"/>
      <c r="H890" s="30">
        <v>15</v>
      </c>
      <c r="I890" s="1"/>
      <c r="J890" s="18">
        <v>3</v>
      </c>
      <c r="K890" s="1"/>
      <c r="L890" s="1"/>
      <c r="M890" s="18"/>
      <c r="N890" s="1"/>
      <c r="O890" s="1"/>
      <c r="P890" s="1"/>
      <c r="Q890" s="1"/>
      <c r="R890" s="1"/>
      <c r="S890" s="18"/>
      <c r="T890" s="1"/>
      <c r="U890" s="1"/>
      <c r="V890" s="1"/>
      <c r="W890" s="32">
        <v>3</v>
      </c>
      <c r="X890" s="1"/>
      <c r="Y890" s="18"/>
      <c r="Z890" s="1"/>
      <c r="AA890" s="1"/>
      <c r="AB890" s="1"/>
      <c r="AC890" s="1"/>
      <c r="AD890" s="1"/>
      <c r="AE890" s="18"/>
      <c r="AF890" s="1">
        <v>1</v>
      </c>
      <c r="AG890" s="1"/>
      <c r="AH890" s="1">
        <v>1</v>
      </c>
      <c r="AI890" s="1"/>
      <c r="AJ890" s="1"/>
      <c r="AK890" s="1"/>
      <c r="AL890" s="1"/>
      <c r="AM890" s="11"/>
    </row>
    <row r="891" spans="1:39" customFormat="1" x14ac:dyDescent="0.25">
      <c r="A891" s="4">
        <v>44741</v>
      </c>
      <c r="B891" s="13">
        <v>14</v>
      </c>
      <c r="C891" s="34">
        <v>1</v>
      </c>
      <c r="D891" s="1"/>
      <c r="E891" s="1"/>
      <c r="F891" s="1"/>
      <c r="G891" s="1"/>
      <c r="H891" s="30">
        <v>13</v>
      </c>
      <c r="I891" s="1"/>
      <c r="J891" s="18">
        <v>3</v>
      </c>
      <c r="K891" s="1"/>
      <c r="L891" s="1"/>
      <c r="M891" s="18"/>
      <c r="N891" s="1"/>
      <c r="O891" s="1"/>
      <c r="P891" s="1"/>
      <c r="Q891" s="1"/>
      <c r="R891" s="1"/>
      <c r="S891" s="18"/>
      <c r="T891" s="1"/>
      <c r="U891" s="1"/>
      <c r="V891" s="1"/>
      <c r="W891" s="32">
        <v>7</v>
      </c>
      <c r="X891" s="1"/>
      <c r="Y891" s="18"/>
      <c r="Z891" s="1"/>
      <c r="AA891" s="1"/>
      <c r="AB891" s="1"/>
      <c r="AC891" s="1"/>
      <c r="AD891" s="1"/>
      <c r="AE891" s="18"/>
      <c r="AF891" s="1"/>
      <c r="AG891" s="1"/>
      <c r="AH891" s="1"/>
      <c r="AI891" s="1"/>
      <c r="AJ891" s="1"/>
      <c r="AK891" s="1"/>
      <c r="AL891" s="1"/>
      <c r="AM891" s="11"/>
    </row>
    <row r="892" spans="1:39" customFormat="1" x14ac:dyDescent="0.25">
      <c r="A892" s="4">
        <v>44742</v>
      </c>
      <c r="B892" s="13">
        <v>12</v>
      </c>
      <c r="C892" s="1"/>
      <c r="D892" s="1">
        <v>2</v>
      </c>
      <c r="E892" s="1"/>
      <c r="F892" s="1"/>
      <c r="G892" s="1"/>
      <c r="H892" s="30">
        <v>107</v>
      </c>
      <c r="I892" s="1"/>
      <c r="J892" s="18">
        <v>2</v>
      </c>
      <c r="K892" s="1"/>
      <c r="L892" s="1"/>
      <c r="M892" s="18"/>
      <c r="N892" s="1"/>
      <c r="O892" s="1"/>
      <c r="P892" s="1"/>
      <c r="Q892" s="1"/>
      <c r="R892" s="1"/>
      <c r="S892" s="18"/>
      <c r="T892" s="1"/>
      <c r="U892" s="1">
        <v>1</v>
      </c>
      <c r="V892" s="1"/>
      <c r="W892" s="32">
        <v>7</v>
      </c>
      <c r="X892" s="1"/>
      <c r="Y892" s="18"/>
      <c r="Z892" s="1"/>
      <c r="AA892" s="1"/>
      <c r="AB892" s="32">
        <v>13</v>
      </c>
      <c r="AC892" s="1"/>
      <c r="AD892" s="1"/>
      <c r="AE892" s="18"/>
      <c r="AF892" s="1">
        <v>1</v>
      </c>
      <c r="AG892" s="1"/>
      <c r="AH892" s="1"/>
      <c r="AI892" s="1">
        <v>2</v>
      </c>
      <c r="AJ892" s="1">
        <v>2</v>
      </c>
      <c r="AK892" s="1"/>
      <c r="AL892" s="1"/>
      <c r="AM892" s="11"/>
    </row>
    <row r="893" spans="1:39" customFormat="1" x14ac:dyDescent="0.25">
      <c r="A893" s="4">
        <v>44743</v>
      </c>
      <c r="B893" s="13">
        <v>30</v>
      </c>
      <c r="C893" s="1"/>
      <c r="D893" s="1"/>
      <c r="E893" s="1"/>
      <c r="F893" s="1"/>
      <c r="G893" s="1"/>
      <c r="H893" s="30">
        <v>135</v>
      </c>
      <c r="I893" s="1"/>
      <c r="J893" s="18">
        <v>1</v>
      </c>
      <c r="K893" s="1"/>
      <c r="L893" s="1"/>
      <c r="M893" s="18"/>
      <c r="N893" s="1"/>
      <c r="O893" s="1"/>
      <c r="P893" s="1"/>
      <c r="Q893" s="1"/>
      <c r="R893" s="1"/>
      <c r="S893" s="18"/>
      <c r="T893" s="1"/>
      <c r="U893" s="1"/>
      <c r="V893" s="1"/>
      <c r="W893" s="32">
        <v>8</v>
      </c>
      <c r="X893" s="1"/>
      <c r="Y893" s="18"/>
      <c r="Z893" s="1"/>
      <c r="AA893" s="1"/>
      <c r="AB893" s="32">
        <v>4</v>
      </c>
      <c r="AC893" s="1"/>
      <c r="AD893" s="1"/>
      <c r="AE893" s="18"/>
      <c r="AF893" s="1">
        <v>1</v>
      </c>
      <c r="AG893" s="1"/>
      <c r="AH893" s="1"/>
      <c r="AI893" s="1">
        <v>3</v>
      </c>
      <c r="AJ893" s="1"/>
      <c r="AK893" s="1"/>
      <c r="AL893" s="1"/>
      <c r="AM893" s="11"/>
    </row>
    <row r="894" spans="1:39" customFormat="1" x14ac:dyDescent="0.25">
      <c r="A894" s="4">
        <v>44744</v>
      </c>
      <c r="B894" s="13">
        <v>59</v>
      </c>
      <c r="C894" s="1"/>
      <c r="D894" s="1"/>
      <c r="E894" s="12">
        <v>2</v>
      </c>
      <c r="F894" s="1"/>
      <c r="G894" s="1"/>
      <c r="H894" s="30">
        <v>292</v>
      </c>
      <c r="I894" s="1"/>
      <c r="J894" s="1"/>
      <c r="K894" s="1"/>
      <c r="L894" s="1"/>
      <c r="M894" s="18"/>
      <c r="N894" s="1"/>
      <c r="O894" s="1"/>
      <c r="P894" s="1"/>
      <c r="Q894" s="1"/>
      <c r="R894" s="1"/>
      <c r="S894" s="18"/>
      <c r="T894" s="1"/>
      <c r="U894" s="1"/>
      <c r="V894" s="1"/>
      <c r="W894" s="32">
        <v>7</v>
      </c>
      <c r="X894" s="1"/>
      <c r="Y894" s="18"/>
      <c r="Z894" s="1"/>
      <c r="AA894" s="1"/>
      <c r="AB894" s="32">
        <v>14</v>
      </c>
      <c r="AC894" s="1"/>
      <c r="AD894" s="57">
        <v>6</v>
      </c>
      <c r="AE894" s="18"/>
      <c r="AF894" s="1"/>
      <c r="AG894" s="1"/>
      <c r="AH894" s="1"/>
      <c r="AI894" s="1">
        <v>3</v>
      </c>
      <c r="AJ894" s="1"/>
      <c r="AK894" s="1"/>
      <c r="AL894" s="1"/>
      <c r="AM894" s="11"/>
    </row>
    <row r="895" spans="1:39" customFormat="1" x14ac:dyDescent="0.25">
      <c r="A895" s="4">
        <v>44745</v>
      </c>
      <c r="B895" s="13">
        <v>56</v>
      </c>
      <c r="C895" s="1"/>
      <c r="D895" s="1"/>
      <c r="E895" s="12">
        <v>3</v>
      </c>
      <c r="F895" s="1"/>
      <c r="G895" s="1"/>
      <c r="H895" s="30">
        <v>286</v>
      </c>
      <c r="I895" s="31">
        <v>10</v>
      </c>
      <c r="J895" s="32">
        <v>1</v>
      </c>
      <c r="K895" s="1"/>
      <c r="L895" s="1"/>
      <c r="M895" s="18"/>
      <c r="N895" s="1"/>
      <c r="O895" s="1"/>
      <c r="P895" s="1"/>
      <c r="Q895" s="1"/>
      <c r="R895" s="1"/>
      <c r="S895" s="18"/>
      <c r="T895" s="1"/>
      <c r="U895" s="1"/>
      <c r="V895" s="1"/>
      <c r="W895" s="32">
        <v>9</v>
      </c>
      <c r="X895" s="1"/>
      <c r="Y895" s="18"/>
      <c r="Z895" s="1"/>
      <c r="AA895" s="1"/>
      <c r="AB895" s="32">
        <v>7</v>
      </c>
      <c r="AC895" s="1"/>
      <c r="AD895" s="57">
        <v>3</v>
      </c>
      <c r="AE895" s="18"/>
      <c r="AF895" s="1">
        <v>1</v>
      </c>
      <c r="AG895" s="1"/>
      <c r="AH895" s="1"/>
      <c r="AI895" s="1">
        <v>2</v>
      </c>
      <c r="AJ895" s="1"/>
      <c r="AK895" s="1"/>
      <c r="AL895" s="1"/>
      <c r="AM895" s="11"/>
    </row>
    <row r="896" spans="1:39" customFormat="1" x14ac:dyDescent="0.25">
      <c r="A896" s="4">
        <v>44746</v>
      </c>
      <c r="B896" s="13">
        <v>66</v>
      </c>
      <c r="C896" s="1">
        <v>3</v>
      </c>
      <c r="D896" s="1"/>
      <c r="E896" s="12">
        <v>8</v>
      </c>
      <c r="F896" s="1"/>
      <c r="G896" s="1"/>
      <c r="H896" s="30">
        <v>223</v>
      </c>
      <c r="I896" s="31">
        <v>7</v>
      </c>
      <c r="J896" s="32">
        <v>3</v>
      </c>
      <c r="K896" s="1"/>
      <c r="L896" s="1"/>
      <c r="M896" s="18"/>
      <c r="N896" s="1"/>
      <c r="O896" s="1"/>
      <c r="P896" s="1"/>
      <c r="Q896" s="1"/>
      <c r="R896" s="1"/>
      <c r="S896" s="18"/>
      <c r="T896" s="1"/>
      <c r="U896" s="1"/>
      <c r="V896" s="1"/>
      <c r="W896" s="32">
        <v>1</v>
      </c>
      <c r="X896" s="1"/>
      <c r="Y896" s="18"/>
      <c r="Z896" s="1"/>
      <c r="AA896" s="1"/>
      <c r="AB896" s="32">
        <v>6</v>
      </c>
      <c r="AC896" s="1"/>
      <c r="AD896" s="57">
        <v>9</v>
      </c>
      <c r="AE896" s="18"/>
      <c r="AF896" s="1"/>
      <c r="AG896" s="1"/>
      <c r="AH896" s="1"/>
      <c r="AI896" s="1"/>
      <c r="AJ896" s="1"/>
      <c r="AK896" s="1"/>
      <c r="AL896" s="1"/>
      <c r="AM896" s="11"/>
    </row>
    <row r="897" spans="1:39" customFormat="1" x14ac:dyDescent="0.25">
      <c r="A897" s="4">
        <v>44747</v>
      </c>
      <c r="B897" s="13">
        <v>63</v>
      </c>
      <c r="C897" s="1">
        <v>6</v>
      </c>
      <c r="D897" s="1">
        <v>5</v>
      </c>
      <c r="E897" s="12">
        <v>24</v>
      </c>
      <c r="F897" s="1"/>
      <c r="G897" s="1"/>
      <c r="H897" s="30">
        <v>188</v>
      </c>
      <c r="I897" s="31">
        <v>8</v>
      </c>
      <c r="J897" s="32">
        <v>1</v>
      </c>
      <c r="K897" s="1"/>
      <c r="L897" s="1"/>
      <c r="M897" s="18"/>
      <c r="N897" s="1"/>
      <c r="O897" s="1"/>
      <c r="P897" s="1"/>
      <c r="Q897" s="1"/>
      <c r="R897" s="1"/>
      <c r="S897" s="18"/>
      <c r="T897" s="1"/>
      <c r="U897" s="1"/>
      <c r="V897" s="1"/>
      <c r="W897" s="32">
        <v>0</v>
      </c>
      <c r="X897" s="1"/>
      <c r="Y897" s="18"/>
      <c r="Z897" s="1"/>
      <c r="AA897" s="1"/>
      <c r="AB897" s="32">
        <v>0</v>
      </c>
      <c r="AC897" s="1"/>
      <c r="AD897" s="57">
        <v>11</v>
      </c>
      <c r="AE897" s="18"/>
      <c r="AF897" s="1">
        <v>1</v>
      </c>
      <c r="AG897" s="1"/>
      <c r="AH897" s="1"/>
      <c r="AI897" s="1"/>
      <c r="AJ897" s="1"/>
      <c r="AK897" s="1"/>
      <c r="AL897" s="1"/>
      <c r="AM897" s="11"/>
    </row>
    <row r="898" spans="1:39" customFormat="1" x14ac:dyDescent="0.25">
      <c r="A898" s="4">
        <v>44748</v>
      </c>
      <c r="B898" s="13">
        <v>61</v>
      </c>
      <c r="C898" s="1">
        <v>3</v>
      </c>
      <c r="D898" s="1">
        <v>4</v>
      </c>
      <c r="E898" s="12">
        <v>54</v>
      </c>
      <c r="F898" s="1"/>
      <c r="G898" s="1"/>
      <c r="H898" s="30">
        <v>158</v>
      </c>
      <c r="I898" s="31">
        <v>19</v>
      </c>
      <c r="J898" s="32">
        <v>3</v>
      </c>
      <c r="K898" s="1"/>
      <c r="L898" s="1"/>
      <c r="M898" s="18"/>
      <c r="N898" s="1"/>
      <c r="O898" s="1"/>
      <c r="P898" s="1"/>
      <c r="Q898" s="1"/>
      <c r="R898" s="1"/>
      <c r="S898" s="18"/>
      <c r="T898" s="1"/>
      <c r="U898" s="1"/>
      <c r="V898" s="1"/>
      <c r="W898" s="32">
        <v>1</v>
      </c>
      <c r="X898" s="1"/>
      <c r="Y898" s="18"/>
      <c r="Z898" s="18">
        <v>8</v>
      </c>
      <c r="AA898" s="1"/>
      <c r="AB898" s="32">
        <v>10</v>
      </c>
      <c r="AC898" s="1">
        <v>1</v>
      </c>
      <c r="AD898" s="57">
        <v>4</v>
      </c>
      <c r="AE898" s="18"/>
      <c r="AF898" s="1"/>
      <c r="AG898" s="1"/>
      <c r="AH898" s="1"/>
      <c r="AI898" s="1"/>
      <c r="AJ898" s="1"/>
      <c r="AK898" s="1"/>
      <c r="AL898" s="1"/>
      <c r="AM898" s="11"/>
    </row>
    <row r="899" spans="1:39" customFormat="1" x14ac:dyDescent="0.25">
      <c r="A899" s="4">
        <v>44749</v>
      </c>
      <c r="B899" s="13">
        <v>69</v>
      </c>
      <c r="C899" s="1"/>
      <c r="D899" s="1"/>
      <c r="E899" s="12">
        <v>45</v>
      </c>
      <c r="F899" s="1"/>
      <c r="G899" s="1"/>
      <c r="H899" s="30">
        <v>154</v>
      </c>
      <c r="I899" s="31">
        <v>17</v>
      </c>
      <c r="J899" s="32">
        <v>7</v>
      </c>
      <c r="K899" s="15">
        <v>2</v>
      </c>
      <c r="L899" s="1"/>
      <c r="M899" s="18"/>
      <c r="N899" s="1"/>
      <c r="O899" s="14">
        <v>2</v>
      </c>
      <c r="P899" s="1"/>
      <c r="Q899" s="1"/>
      <c r="R899" s="1"/>
      <c r="S899" s="18"/>
      <c r="T899" s="1"/>
      <c r="U899" s="1"/>
      <c r="V899" s="1"/>
      <c r="W899" s="1"/>
      <c r="X899" s="1"/>
      <c r="Y899" s="18"/>
      <c r="Z899" s="18">
        <v>4</v>
      </c>
      <c r="AA899" s="1"/>
      <c r="AB899" s="32">
        <v>66</v>
      </c>
      <c r="AC899" s="1"/>
      <c r="AD899" s="57">
        <v>9</v>
      </c>
      <c r="AE899" s="18"/>
      <c r="AF899" s="1"/>
      <c r="AG899" s="1"/>
      <c r="AH899" s="1"/>
      <c r="AI899" s="1"/>
      <c r="AJ899" s="1"/>
      <c r="AK899" s="1"/>
      <c r="AL899" s="1"/>
      <c r="AM899" s="11"/>
    </row>
    <row r="900" spans="1:39" customFormat="1" x14ac:dyDescent="0.25">
      <c r="A900" s="4">
        <v>44750</v>
      </c>
      <c r="B900" s="13">
        <v>78</v>
      </c>
      <c r="C900" s="1">
        <v>3</v>
      </c>
      <c r="D900" s="1">
        <v>1</v>
      </c>
      <c r="E900" s="12">
        <v>59</v>
      </c>
      <c r="F900" s="1"/>
      <c r="G900" s="1"/>
      <c r="H900" s="30">
        <v>135</v>
      </c>
      <c r="I900" s="31">
        <v>21</v>
      </c>
      <c r="J900" s="32">
        <v>8</v>
      </c>
      <c r="K900" s="15">
        <v>1</v>
      </c>
      <c r="L900" s="1"/>
      <c r="M900" s="18"/>
      <c r="N900" s="10">
        <v>5</v>
      </c>
      <c r="O900" s="14">
        <v>0</v>
      </c>
      <c r="P900" s="1"/>
      <c r="Q900" s="1"/>
      <c r="R900" s="1"/>
      <c r="S900" s="18"/>
      <c r="T900" s="1"/>
      <c r="U900" s="1"/>
      <c r="V900" s="1"/>
      <c r="W900" s="1"/>
      <c r="X900" s="1"/>
      <c r="Y900" s="18"/>
      <c r="Z900" s="18">
        <v>3</v>
      </c>
      <c r="AA900" s="1"/>
      <c r="AB900" s="32">
        <v>46</v>
      </c>
      <c r="AC900" s="1"/>
      <c r="AD900" s="57">
        <v>3</v>
      </c>
      <c r="AE900" s="18"/>
      <c r="AF900" s="1"/>
      <c r="AG900" s="1"/>
      <c r="AH900" s="1"/>
      <c r="AI900" s="1">
        <v>2</v>
      </c>
      <c r="AJ900" s="1"/>
      <c r="AK900" s="1"/>
      <c r="AL900" s="1"/>
      <c r="AM900" s="11"/>
    </row>
    <row r="901" spans="1:39" customFormat="1" x14ac:dyDescent="0.25">
      <c r="A901" s="4">
        <v>44751</v>
      </c>
      <c r="B901" s="13">
        <v>62</v>
      </c>
      <c r="C901" s="1"/>
      <c r="D901" s="1">
        <v>1</v>
      </c>
      <c r="E901" s="12">
        <v>57</v>
      </c>
      <c r="F901" s="1"/>
      <c r="G901" s="1"/>
      <c r="H901" s="30">
        <v>79</v>
      </c>
      <c r="I901" s="31">
        <v>7</v>
      </c>
      <c r="J901" s="32">
        <v>25</v>
      </c>
      <c r="K901" s="15">
        <v>3</v>
      </c>
      <c r="L901" s="1"/>
      <c r="M901" s="18"/>
      <c r="N901" s="10">
        <v>13</v>
      </c>
      <c r="O901" s="14">
        <v>7</v>
      </c>
      <c r="P901" s="10">
        <v>4</v>
      </c>
      <c r="Q901" s="1"/>
      <c r="R901" s="1"/>
      <c r="S901" s="18"/>
      <c r="T901" s="1"/>
      <c r="U901" s="32">
        <v>3</v>
      </c>
      <c r="V901" s="1"/>
      <c r="W901" s="1"/>
      <c r="X901" s="1"/>
      <c r="Y901" s="18"/>
      <c r="Z901" s="18">
        <v>9</v>
      </c>
      <c r="AA901" s="1"/>
      <c r="AB901" s="32">
        <v>57</v>
      </c>
      <c r="AC901" s="1"/>
      <c r="AD901" s="57">
        <v>2</v>
      </c>
      <c r="AE901" s="18"/>
      <c r="AF901" s="1"/>
      <c r="AG901" s="1"/>
      <c r="AH901" s="1"/>
      <c r="AI901" s="1">
        <v>3</v>
      </c>
      <c r="AJ901" s="1"/>
      <c r="AK901" s="1"/>
      <c r="AL901" s="1"/>
      <c r="AM901" s="11"/>
    </row>
    <row r="902" spans="1:39" customFormat="1" x14ac:dyDescent="0.25">
      <c r="A902" s="4">
        <v>44752</v>
      </c>
      <c r="B902" s="13">
        <v>60</v>
      </c>
      <c r="C902" s="1">
        <v>1</v>
      </c>
      <c r="D902" s="1"/>
      <c r="E902" s="12">
        <v>69</v>
      </c>
      <c r="F902" s="1"/>
      <c r="G902" s="1"/>
      <c r="H902" s="30">
        <v>39</v>
      </c>
      <c r="I902" s="31">
        <v>18</v>
      </c>
      <c r="J902" s="32">
        <v>29</v>
      </c>
      <c r="K902" s="15">
        <v>3</v>
      </c>
      <c r="L902" s="1"/>
      <c r="M902" s="18"/>
      <c r="N902" s="10">
        <v>27</v>
      </c>
      <c r="O902" s="14">
        <v>3</v>
      </c>
      <c r="P902" s="10">
        <v>12</v>
      </c>
      <c r="Q902" s="1"/>
      <c r="R902" s="1"/>
      <c r="S902" s="18"/>
      <c r="T902" s="1"/>
      <c r="U902" s="32">
        <v>1</v>
      </c>
      <c r="V902" s="1"/>
      <c r="W902" s="1"/>
      <c r="X902" s="1"/>
      <c r="Y902" s="18"/>
      <c r="Z902" s="18">
        <v>1</v>
      </c>
      <c r="AA902" s="1">
        <v>1</v>
      </c>
      <c r="AB902" s="32">
        <v>80</v>
      </c>
      <c r="AC902" s="1">
        <v>1</v>
      </c>
      <c r="AD902" s="57">
        <v>2</v>
      </c>
      <c r="AE902" s="18"/>
      <c r="AF902" s="1"/>
      <c r="AG902" s="1"/>
      <c r="AH902" s="1"/>
      <c r="AI902" s="1">
        <v>1</v>
      </c>
      <c r="AJ902" s="1"/>
      <c r="AK902" s="1"/>
      <c r="AL902" s="1"/>
      <c r="AM902" s="11"/>
    </row>
    <row r="903" spans="1:39" customFormat="1" x14ac:dyDescent="0.25">
      <c r="A903" s="4">
        <v>44753</v>
      </c>
      <c r="B903" s="13">
        <v>28</v>
      </c>
      <c r="C903" s="1"/>
      <c r="D903" s="1"/>
      <c r="E903" s="12">
        <v>59</v>
      </c>
      <c r="F903" s="1"/>
      <c r="G903" s="1"/>
      <c r="H903" s="30">
        <v>24</v>
      </c>
      <c r="I903" s="31">
        <v>11</v>
      </c>
      <c r="J903" s="32">
        <v>40</v>
      </c>
      <c r="K903" s="15">
        <v>3</v>
      </c>
      <c r="L903" s="1"/>
      <c r="M903" s="18"/>
      <c r="N903" s="10">
        <v>19</v>
      </c>
      <c r="O903" s="14">
        <v>16</v>
      </c>
      <c r="P903" s="10">
        <v>73</v>
      </c>
      <c r="Q903" s="1"/>
      <c r="R903" s="1"/>
      <c r="S903" s="18"/>
      <c r="T903" s="1"/>
      <c r="U903" s="32">
        <v>3</v>
      </c>
      <c r="V903" s="1"/>
      <c r="W903" s="1"/>
      <c r="X903" s="1"/>
      <c r="Y903" s="18"/>
      <c r="Z903" s="18">
        <v>2</v>
      </c>
      <c r="AA903" s="1"/>
      <c r="AB903" s="32">
        <v>56</v>
      </c>
      <c r="AC903" s="1"/>
      <c r="AD903" s="57">
        <v>2</v>
      </c>
      <c r="AE903" s="18"/>
      <c r="AF903" s="1"/>
      <c r="AG903" s="1"/>
      <c r="AH903" s="1"/>
      <c r="AI903" s="1">
        <v>1</v>
      </c>
      <c r="AJ903" s="1"/>
      <c r="AK903" s="1"/>
      <c r="AL903" s="1"/>
      <c r="AM903" s="11"/>
    </row>
    <row r="904" spans="1:39" customFormat="1" x14ac:dyDescent="0.25">
      <c r="A904" s="4">
        <v>44754</v>
      </c>
      <c r="B904" s="13">
        <v>17</v>
      </c>
      <c r="C904" s="1"/>
      <c r="D904" s="1"/>
      <c r="E904" s="12">
        <v>55</v>
      </c>
      <c r="F904" s="1"/>
      <c r="G904" s="1"/>
      <c r="H904" s="30">
        <v>8</v>
      </c>
      <c r="I904" s="31">
        <v>2</v>
      </c>
      <c r="J904" s="32">
        <v>20</v>
      </c>
      <c r="K904" s="15">
        <v>3</v>
      </c>
      <c r="L904" s="1"/>
      <c r="M904" s="18"/>
      <c r="N904" s="10">
        <v>69</v>
      </c>
      <c r="O904" s="14">
        <v>9</v>
      </c>
      <c r="P904" s="10">
        <v>25</v>
      </c>
      <c r="Q904" s="1"/>
      <c r="R904" s="1"/>
      <c r="S904" s="18"/>
      <c r="T904" s="1"/>
      <c r="U904" s="32">
        <v>5</v>
      </c>
      <c r="V904" s="1"/>
      <c r="W904" s="1"/>
      <c r="X904" s="1"/>
      <c r="Y904" s="18"/>
      <c r="Z904" s="18">
        <v>4</v>
      </c>
      <c r="AA904" s="1"/>
      <c r="AB904" s="32">
        <v>38</v>
      </c>
      <c r="AC904" s="1"/>
      <c r="AD904" s="1"/>
      <c r="AE904" s="18"/>
      <c r="AF904" s="1"/>
      <c r="AG904" s="1"/>
      <c r="AH904" s="1"/>
      <c r="AI904" s="1"/>
      <c r="AJ904" s="1"/>
      <c r="AK904" s="1"/>
      <c r="AL904" s="1"/>
      <c r="AM904" s="11"/>
    </row>
    <row r="905" spans="1:39" customFormat="1" x14ac:dyDescent="0.25">
      <c r="A905" s="4">
        <v>44755</v>
      </c>
      <c r="B905" s="13">
        <v>9</v>
      </c>
      <c r="C905" s="1"/>
      <c r="D905" s="1"/>
      <c r="E905" s="12">
        <v>47</v>
      </c>
      <c r="F905" s="1">
        <v>1</v>
      </c>
      <c r="G905" s="1"/>
      <c r="H905" s="1"/>
      <c r="I905" s="31">
        <v>1</v>
      </c>
      <c r="J905" s="32">
        <v>43</v>
      </c>
      <c r="K905" s="15">
        <v>25</v>
      </c>
      <c r="L905" s="1"/>
      <c r="M905" s="18"/>
      <c r="N905" s="10">
        <v>89</v>
      </c>
      <c r="O905" s="14">
        <v>6</v>
      </c>
      <c r="P905" s="10">
        <v>29</v>
      </c>
      <c r="Q905" s="1"/>
      <c r="R905" s="1"/>
      <c r="S905" s="18"/>
      <c r="T905" s="1"/>
      <c r="U905" s="32">
        <v>9</v>
      </c>
      <c r="V905" s="1"/>
      <c r="W905" s="1"/>
      <c r="X905" s="1"/>
      <c r="Y905" s="18"/>
      <c r="Z905" s="18">
        <v>1</v>
      </c>
      <c r="AA905" s="1"/>
      <c r="AB905" s="32">
        <v>18</v>
      </c>
      <c r="AC905" s="1"/>
      <c r="AD905" s="1"/>
      <c r="AE905" s="18"/>
      <c r="AF905" s="57">
        <v>1</v>
      </c>
      <c r="AG905" s="1"/>
      <c r="AH905" s="1"/>
      <c r="AI905" s="1"/>
      <c r="AJ905" s="1"/>
      <c r="AK905" s="1"/>
      <c r="AL905" s="1"/>
      <c r="AM905" s="11"/>
    </row>
    <row r="906" spans="1:39" customFormat="1" x14ac:dyDescent="0.25">
      <c r="A906" s="4">
        <v>44756</v>
      </c>
      <c r="B906" s="13">
        <v>13</v>
      </c>
      <c r="C906" s="1"/>
      <c r="D906" s="1"/>
      <c r="E906" s="12">
        <v>45</v>
      </c>
      <c r="F906" s="1"/>
      <c r="G906" s="1"/>
      <c r="H906" s="1"/>
      <c r="I906" s="31">
        <v>1</v>
      </c>
      <c r="J906" s="32">
        <v>53</v>
      </c>
      <c r="K906" s="15">
        <v>165</v>
      </c>
      <c r="L906" s="1"/>
      <c r="M906" s="18"/>
      <c r="N906" s="10">
        <v>66</v>
      </c>
      <c r="O906" s="14">
        <v>3</v>
      </c>
      <c r="P906" s="10">
        <v>52</v>
      </c>
      <c r="Q906" s="1"/>
      <c r="R906" s="1"/>
      <c r="S906" s="18"/>
      <c r="T906" s="1"/>
      <c r="U906" s="32">
        <v>9</v>
      </c>
      <c r="V906" s="1"/>
      <c r="W906" s="1"/>
      <c r="X906" s="1"/>
      <c r="Y906" s="18"/>
      <c r="Z906" s="18">
        <v>1</v>
      </c>
      <c r="AA906" s="1"/>
      <c r="AB906" s="32">
        <v>9</v>
      </c>
      <c r="AC906" s="1"/>
      <c r="AD906" s="1"/>
      <c r="AE906" s="18"/>
      <c r="AF906" s="57">
        <v>0</v>
      </c>
      <c r="AG906" s="1"/>
      <c r="AH906" s="1"/>
      <c r="AI906" s="1"/>
      <c r="AJ906" s="1"/>
      <c r="AK906" s="1"/>
      <c r="AL906" s="1"/>
      <c r="AM906" s="11"/>
    </row>
    <row r="907" spans="1:39" customFormat="1" x14ac:dyDescent="0.25">
      <c r="A907" s="4">
        <v>44757</v>
      </c>
      <c r="B907" s="13">
        <v>5</v>
      </c>
      <c r="C907" s="1"/>
      <c r="D907" s="1"/>
      <c r="E907" s="12">
        <v>33</v>
      </c>
      <c r="F907" s="1">
        <v>1</v>
      </c>
      <c r="G907" s="1"/>
      <c r="H907" s="30">
        <v>155</v>
      </c>
      <c r="I907" s="31">
        <v>1</v>
      </c>
      <c r="J907" s="32">
        <v>31</v>
      </c>
      <c r="K907" s="15">
        <v>40</v>
      </c>
      <c r="L907" s="1"/>
      <c r="M907" s="18"/>
      <c r="N907" s="10">
        <v>112</v>
      </c>
      <c r="O907" s="14">
        <v>2</v>
      </c>
      <c r="P907" s="10">
        <v>39</v>
      </c>
      <c r="Q907" s="1"/>
      <c r="R907" s="1"/>
      <c r="S907" s="18"/>
      <c r="T907" s="1"/>
      <c r="U907" s="32">
        <v>4</v>
      </c>
      <c r="V907" s="49">
        <v>3</v>
      </c>
      <c r="W907" s="1"/>
      <c r="X907" s="1"/>
      <c r="Y907" s="18"/>
      <c r="Z907" s="1"/>
      <c r="AA907" s="1">
        <v>1</v>
      </c>
      <c r="AB907" s="32">
        <v>6</v>
      </c>
      <c r="AC907" s="1"/>
      <c r="AD907" s="1"/>
      <c r="AE907" s="18"/>
      <c r="AF907" s="57">
        <v>1</v>
      </c>
      <c r="AG907" s="1"/>
      <c r="AH907" s="1"/>
      <c r="AI907" s="1"/>
      <c r="AJ907" s="1"/>
      <c r="AK907" s="1"/>
      <c r="AL907" s="1"/>
      <c r="AM907" s="11"/>
    </row>
    <row r="908" spans="1:39" customFormat="1" x14ac:dyDescent="0.25">
      <c r="A908" s="4">
        <v>44758</v>
      </c>
      <c r="B908" s="13">
        <v>5</v>
      </c>
      <c r="C908" s="1"/>
      <c r="D908" s="1"/>
      <c r="E908" s="12">
        <v>26</v>
      </c>
      <c r="F908" s="1"/>
      <c r="G908" s="1"/>
      <c r="H908" s="30">
        <v>47</v>
      </c>
      <c r="I908" s="31">
        <v>3</v>
      </c>
      <c r="J908" s="32">
        <v>15</v>
      </c>
      <c r="K908" s="15">
        <v>241</v>
      </c>
      <c r="L908" s="1">
        <v>1</v>
      </c>
      <c r="M908" s="18"/>
      <c r="N908" s="10">
        <v>157</v>
      </c>
      <c r="O908" s="14">
        <v>0</v>
      </c>
      <c r="P908" s="10">
        <v>29</v>
      </c>
      <c r="Q908" s="1">
        <v>1</v>
      </c>
      <c r="R908" s="1"/>
      <c r="S908" s="18"/>
      <c r="T908" s="1"/>
      <c r="U908" s="32">
        <v>9</v>
      </c>
      <c r="V908" s="49">
        <v>6</v>
      </c>
      <c r="W908" s="1"/>
      <c r="X908" s="1"/>
      <c r="Y908" s="18"/>
      <c r="Z908" s="1"/>
      <c r="AA908" s="1"/>
      <c r="AB908" s="32">
        <v>4</v>
      </c>
      <c r="AC908" s="1"/>
      <c r="AD908" s="1"/>
      <c r="AE908" s="18"/>
      <c r="AF908" s="57">
        <v>12</v>
      </c>
      <c r="AG908" s="1"/>
      <c r="AH908" s="1"/>
      <c r="AI908" s="1">
        <v>1</v>
      </c>
      <c r="AJ908" s="1"/>
      <c r="AK908" s="1"/>
      <c r="AL908" s="1"/>
      <c r="AM908" s="11"/>
    </row>
    <row r="909" spans="1:39" customFormat="1" x14ac:dyDescent="0.25">
      <c r="A909" s="4">
        <v>44759</v>
      </c>
      <c r="B909" s="13">
        <v>3</v>
      </c>
      <c r="C909" s="1"/>
      <c r="D909" s="1"/>
      <c r="E909" s="12">
        <v>17</v>
      </c>
      <c r="F909" s="1"/>
      <c r="G909" s="1"/>
      <c r="H909" s="30">
        <v>55</v>
      </c>
      <c r="I909" s="1"/>
      <c r="J909" s="32">
        <v>14</v>
      </c>
      <c r="K909" s="15">
        <v>81</v>
      </c>
      <c r="L909" s="1"/>
      <c r="M909" s="18"/>
      <c r="N909" s="10">
        <v>202</v>
      </c>
      <c r="O909" s="14">
        <v>1</v>
      </c>
      <c r="P909" s="10">
        <v>39</v>
      </c>
      <c r="Q909" s="1"/>
      <c r="R909" s="1"/>
      <c r="S909" s="18"/>
      <c r="T909" s="1"/>
      <c r="U909" s="32">
        <v>15</v>
      </c>
      <c r="V909" s="49">
        <v>8</v>
      </c>
      <c r="W909" s="1">
        <v>2</v>
      </c>
      <c r="X909" s="1"/>
      <c r="Y909" s="18"/>
      <c r="Z909" s="1"/>
      <c r="AA909" s="1"/>
      <c r="AB909" s="32">
        <v>4</v>
      </c>
      <c r="AC909" s="1"/>
      <c r="AD909" s="1"/>
      <c r="AE909" s="18"/>
      <c r="AF909" s="57">
        <v>23</v>
      </c>
      <c r="AG909" s="1"/>
      <c r="AH909" s="1"/>
      <c r="AI909" s="1"/>
      <c r="AJ909" s="1"/>
      <c r="AK909" s="1"/>
      <c r="AL909" s="1"/>
      <c r="AM909" s="11"/>
    </row>
    <row r="910" spans="1:39" customFormat="1" x14ac:dyDescent="0.25">
      <c r="A910" s="4">
        <v>44760</v>
      </c>
      <c r="B910" s="13">
        <v>1</v>
      </c>
      <c r="C910" s="1">
        <v>1</v>
      </c>
      <c r="D910" s="13">
        <v>11</v>
      </c>
      <c r="E910" s="12">
        <v>23</v>
      </c>
      <c r="F910" s="18">
        <v>1</v>
      </c>
      <c r="G910" s="1"/>
      <c r="H910" s="30">
        <v>78</v>
      </c>
      <c r="I910" s="1"/>
      <c r="J910" s="32">
        <v>13</v>
      </c>
      <c r="K910" s="15">
        <v>194</v>
      </c>
      <c r="L910" s="1"/>
      <c r="M910" s="18"/>
      <c r="N910" s="10">
        <v>231</v>
      </c>
      <c r="O910" s="1"/>
      <c r="P910" s="10">
        <v>45</v>
      </c>
      <c r="Q910" s="1"/>
      <c r="R910" s="1"/>
      <c r="S910" s="18"/>
      <c r="T910" s="1"/>
      <c r="U910" s="32">
        <v>14</v>
      </c>
      <c r="V910" s="49">
        <v>9</v>
      </c>
      <c r="W910" s="1"/>
      <c r="X910" s="1"/>
      <c r="Y910" s="18"/>
      <c r="Z910" s="1"/>
      <c r="AA910" s="1"/>
      <c r="AB910" s="32">
        <v>2</v>
      </c>
      <c r="AC910" s="1"/>
      <c r="AD910" s="1"/>
      <c r="AE910" s="18"/>
      <c r="AF910" s="57">
        <v>19</v>
      </c>
      <c r="AG910" s="1"/>
      <c r="AH910" s="1"/>
      <c r="AI910" s="1">
        <v>1</v>
      </c>
      <c r="AJ910" s="1"/>
      <c r="AK910" s="1"/>
      <c r="AL910" s="1"/>
      <c r="AM910" s="11"/>
    </row>
    <row r="911" spans="1:39" customFormat="1" x14ac:dyDescent="0.25">
      <c r="A911" s="4">
        <v>44761</v>
      </c>
      <c r="B911" s="13">
        <v>1</v>
      </c>
      <c r="C911" s="1"/>
      <c r="D911" s="13">
        <v>14</v>
      </c>
      <c r="E911" s="12">
        <v>15</v>
      </c>
      <c r="F911" s="18">
        <v>0</v>
      </c>
      <c r="G911" s="1"/>
      <c r="H911" s="30">
        <v>83</v>
      </c>
      <c r="I911" s="1"/>
      <c r="J911" s="32">
        <v>27</v>
      </c>
      <c r="K911" s="15">
        <v>277</v>
      </c>
      <c r="L911" s="1"/>
      <c r="M911" s="18"/>
      <c r="N911" s="10">
        <v>331</v>
      </c>
      <c r="O911" s="1"/>
      <c r="P911" s="10">
        <v>127</v>
      </c>
      <c r="Q911" s="1"/>
      <c r="R911" s="1">
        <v>1</v>
      </c>
      <c r="S911" s="18"/>
      <c r="T911" s="1"/>
      <c r="U911" s="32">
        <v>10</v>
      </c>
      <c r="V911" s="49">
        <v>8</v>
      </c>
      <c r="W911" s="1"/>
      <c r="X911" s="1"/>
      <c r="Y911" s="18"/>
      <c r="Z911" s="1"/>
      <c r="AA911" s="1"/>
      <c r="AB911" s="1"/>
      <c r="AC911" s="1"/>
      <c r="AD911" s="1"/>
      <c r="AE911" s="18"/>
      <c r="AF911" s="57">
        <v>9</v>
      </c>
      <c r="AG911" s="1"/>
      <c r="AH911" s="57">
        <v>3</v>
      </c>
      <c r="AI911" s="1"/>
      <c r="AJ911" s="1"/>
      <c r="AK911" s="1"/>
      <c r="AL911" s="1"/>
      <c r="AM911" s="11"/>
    </row>
    <row r="912" spans="1:39" customFormat="1" x14ac:dyDescent="0.25">
      <c r="A912" s="4">
        <v>44762</v>
      </c>
      <c r="B912" s="1"/>
      <c r="C912" s="1"/>
      <c r="D912" s="13">
        <v>14</v>
      </c>
      <c r="E912" s="12">
        <v>17</v>
      </c>
      <c r="F912" s="18">
        <v>2</v>
      </c>
      <c r="G912" s="1"/>
      <c r="H912" s="30">
        <v>83</v>
      </c>
      <c r="I912" s="1"/>
      <c r="J912" s="32">
        <v>23</v>
      </c>
      <c r="K912" s="15">
        <v>148</v>
      </c>
      <c r="L912" s="1"/>
      <c r="M912" s="18"/>
      <c r="N912" s="10">
        <v>334</v>
      </c>
      <c r="O912" s="1"/>
      <c r="P912" s="10">
        <v>76</v>
      </c>
      <c r="Q912" s="1"/>
      <c r="R912" s="1"/>
      <c r="S912" s="18"/>
      <c r="T912" s="1"/>
      <c r="U912" s="32">
        <v>7</v>
      </c>
      <c r="V912" s="49">
        <v>7</v>
      </c>
      <c r="W912" s="1"/>
      <c r="X912" s="1"/>
      <c r="Y912" s="18"/>
      <c r="Z912" s="1">
        <v>1</v>
      </c>
      <c r="AA912" s="1"/>
      <c r="AB912" s="1"/>
      <c r="AC912" s="1"/>
      <c r="AD912" s="1"/>
      <c r="AE912" s="18"/>
      <c r="AF912" s="57">
        <v>39</v>
      </c>
      <c r="AG912" s="1"/>
      <c r="AH912" s="57">
        <v>0</v>
      </c>
      <c r="AI912" s="1"/>
      <c r="AJ912" s="1"/>
      <c r="AK912" s="1"/>
      <c r="AL912" s="1"/>
      <c r="AM912" s="11"/>
    </row>
    <row r="913" spans="1:39" customFormat="1" x14ac:dyDescent="0.25">
      <c r="A913" s="4">
        <v>44763</v>
      </c>
      <c r="B913" s="1"/>
      <c r="C913" s="1"/>
      <c r="D913" s="13">
        <v>10</v>
      </c>
      <c r="E913" s="12">
        <v>18</v>
      </c>
      <c r="F913" s="18">
        <v>4</v>
      </c>
      <c r="G913" s="1"/>
      <c r="H913" s="30">
        <v>51</v>
      </c>
      <c r="I913" s="1"/>
      <c r="J913" s="32">
        <v>21</v>
      </c>
      <c r="K913" s="15">
        <v>151</v>
      </c>
      <c r="L913" s="1"/>
      <c r="M913" s="18"/>
      <c r="N913" s="10">
        <v>556</v>
      </c>
      <c r="O913" s="1"/>
      <c r="P913" s="10">
        <v>20</v>
      </c>
      <c r="Q913" s="1"/>
      <c r="R913" s="1"/>
      <c r="S913" s="18"/>
      <c r="T913" s="1"/>
      <c r="U913" s="32">
        <v>5</v>
      </c>
      <c r="V913" s="49">
        <v>2</v>
      </c>
      <c r="W913" s="1"/>
      <c r="X913" s="1"/>
      <c r="Y913" s="18"/>
      <c r="Z913" s="1"/>
      <c r="AA913" s="1"/>
      <c r="AB913" s="1"/>
      <c r="AC913" s="1"/>
      <c r="AD913" s="1"/>
      <c r="AE913" s="18"/>
      <c r="AF913" s="57">
        <v>18</v>
      </c>
      <c r="AG913" s="1"/>
      <c r="AH913" s="57">
        <v>3</v>
      </c>
      <c r="AI913" s="1"/>
      <c r="AJ913" s="1"/>
      <c r="AK913" s="1"/>
      <c r="AL913" s="1"/>
      <c r="AM913" s="11"/>
    </row>
    <row r="914" spans="1:39" customFormat="1" x14ac:dyDescent="0.25">
      <c r="A914" s="4">
        <v>44764</v>
      </c>
      <c r="B914" s="1"/>
      <c r="C914" s="1">
        <v>1</v>
      </c>
      <c r="D914" s="13">
        <v>9</v>
      </c>
      <c r="E914" s="12">
        <v>18</v>
      </c>
      <c r="F914" s="18">
        <v>4</v>
      </c>
      <c r="G914" s="1"/>
      <c r="H914" s="30">
        <v>22</v>
      </c>
      <c r="I914" s="1"/>
      <c r="J914" s="32">
        <v>31</v>
      </c>
      <c r="K914" s="15">
        <v>199</v>
      </c>
      <c r="L914" s="1"/>
      <c r="M914" s="18"/>
      <c r="N914" s="10">
        <v>353</v>
      </c>
      <c r="O914" s="1"/>
      <c r="P914" s="10">
        <v>20</v>
      </c>
      <c r="Q914" s="1"/>
      <c r="R914" s="1"/>
      <c r="S914" s="18"/>
      <c r="T914" s="1"/>
      <c r="U914" s="32">
        <v>6</v>
      </c>
      <c r="V914" s="1"/>
      <c r="W914" s="1"/>
      <c r="X914" s="1"/>
      <c r="Y914" s="18"/>
      <c r="Z914" s="1"/>
      <c r="AA914" s="1"/>
      <c r="AB914" s="1"/>
      <c r="AC914" s="1"/>
      <c r="AD914" s="1"/>
      <c r="AE914" s="18"/>
      <c r="AF914" s="57">
        <v>21</v>
      </c>
      <c r="AG914" s="1"/>
      <c r="AH914" s="57">
        <v>7</v>
      </c>
      <c r="AI914" s="1"/>
      <c r="AJ914" s="1"/>
      <c r="AK914" s="1"/>
      <c r="AL914" s="1"/>
      <c r="AM914" s="11"/>
    </row>
    <row r="915" spans="1:39" customFormat="1" x14ac:dyDescent="0.25">
      <c r="A915" s="4">
        <v>44765</v>
      </c>
      <c r="B915" s="1"/>
      <c r="C915" s="1"/>
      <c r="D915" s="13">
        <v>3</v>
      </c>
      <c r="E915" s="12">
        <v>24</v>
      </c>
      <c r="F915" s="18">
        <v>4</v>
      </c>
      <c r="G915" s="1"/>
      <c r="H915" s="30">
        <v>11</v>
      </c>
      <c r="I915" s="1"/>
      <c r="J915" s="32">
        <v>20</v>
      </c>
      <c r="K915" s="15">
        <v>339</v>
      </c>
      <c r="L915" s="1"/>
      <c r="M915" s="18"/>
      <c r="N915" s="10">
        <v>344</v>
      </c>
      <c r="O915" s="1"/>
      <c r="P915" s="10">
        <v>17</v>
      </c>
      <c r="Q915" s="1"/>
      <c r="R915" s="1"/>
      <c r="S915" s="18"/>
      <c r="T915" s="1"/>
      <c r="U915" s="32">
        <v>10</v>
      </c>
      <c r="V915" s="1"/>
      <c r="W915" s="1">
        <v>1</v>
      </c>
      <c r="X915" s="1"/>
      <c r="Y915" s="18"/>
      <c r="Z915" s="1"/>
      <c r="AA915" s="1"/>
      <c r="AB915" s="1"/>
      <c r="AC915" s="1"/>
      <c r="AD915" s="1"/>
      <c r="AE915" s="18"/>
      <c r="AF915" s="57">
        <v>48</v>
      </c>
      <c r="AG915" s="1">
        <v>3</v>
      </c>
      <c r="AH915" s="57">
        <v>15</v>
      </c>
      <c r="AI915" s="1"/>
      <c r="AJ915" s="1"/>
      <c r="AK915" s="1"/>
      <c r="AL915" s="1"/>
      <c r="AM915" s="11"/>
    </row>
    <row r="916" spans="1:39" customFormat="1" x14ac:dyDescent="0.25">
      <c r="A916" s="4">
        <v>44766</v>
      </c>
      <c r="B916" s="1">
        <v>1</v>
      </c>
      <c r="C916" s="1">
        <v>1</v>
      </c>
      <c r="D916" s="13">
        <v>4</v>
      </c>
      <c r="E916" s="12">
        <v>18</v>
      </c>
      <c r="F916" s="18">
        <v>1</v>
      </c>
      <c r="G916" s="1"/>
      <c r="H916" s="30">
        <v>4</v>
      </c>
      <c r="I916" s="1"/>
      <c r="J916" s="32">
        <v>23</v>
      </c>
      <c r="K916" s="15">
        <v>228</v>
      </c>
      <c r="L916" s="1"/>
      <c r="M916" s="18"/>
      <c r="N916" s="10">
        <v>294</v>
      </c>
      <c r="O916" s="1"/>
      <c r="P916" s="10">
        <v>15</v>
      </c>
      <c r="Q916" s="1"/>
      <c r="R916" s="1"/>
      <c r="S916" s="18"/>
      <c r="T916" s="1"/>
      <c r="U916" s="32">
        <v>3</v>
      </c>
      <c r="V916" s="1"/>
      <c r="W916" s="1"/>
      <c r="X916" s="1"/>
      <c r="Y916" s="18"/>
      <c r="Z916" s="1"/>
      <c r="AA916" s="1"/>
      <c r="AB916" s="44">
        <v>13</v>
      </c>
      <c r="AC916" s="1"/>
      <c r="AD916" s="1"/>
      <c r="AE916" s="18"/>
      <c r="AF916" s="57">
        <v>26</v>
      </c>
      <c r="AG916" s="1">
        <v>1</v>
      </c>
      <c r="AH916" s="57">
        <v>9</v>
      </c>
      <c r="AI916" s="1"/>
      <c r="AJ916" s="1"/>
      <c r="AK916" s="1"/>
      <c r="AL916" s="1"/>
      <c r="AM916" s="11"/>
    </row>
    <row r="917" spans="1:39" customFormat="1" x14ac:dyDescent="0.25">
      <c r="A917" s="4">
        <v>44767</v>
      </c>
      <c r="B917" s="1">
        <v>1</v>
      </c>
      <c r="C917" s="1"/>
      <c r="D917" s="13">
        <v>2</v>
      </c>
      <c r="E917" s="12">
        <v>19</v>
      </c>
      <c r="F917" s="18">
        <v>3</v>
      </c>
      <c r="G917" s="1"/>
      <c r="H917" s="30">
        <v>0</v>
      </c>
      <c r="I917" s="1"/>
      <c r="J917" s="32">
        <v>22</v>
      </c>
      <c r="K917" s="15">
        <v>393</v>
      </c>
      <c r="L917" s="1"/>
      <c r="M917" s="18"/>
      <c r="N917" s="10">
        <v>326</v>
      </c>
      <c r="O917" s="1"/>
      <c r="P917" s="10">
        <v>7</v>
      </c>
      <c r="Q917" s="1"/>
      <c r="R917" s="1"/>
      <c r="S917" s="18"/>
      <c r="T917" s="1"/>
      <c r="U917" s="32">
        <v>2</v>
      </c>
      <c r="V917" s="1"/>
      <c r="W917" s="1"/>
      <c r="X917" s="1"/>
      <c r="Y917" s="18"/>
      <c r="Z917" s="1"/>
      <c r="AA917" s="1"/>
      <c r="AB917" s="44">
        <v>28</v>
      </c>
      <c r="AC917" s="1"/>
      <c r="AD917" s="1"/>
      <c r="AE917" s="18"/>
      <c r="AF917" s="57">
        <v>25</v>
      </c>
      <c r="AG917" s="1"/>
      <c r="AH917" s="57">
        <v>7</v>
      </c>
      <c r="AI917" s="1">
        <v>1</v>
      </c>
      <c r="AJ917" s="1"/>
      <c r="AK917" s="1"/>
      <c r="AL917" s="1"/>
      <c r="AM917" s="11"/>
    </row>
    <row r="918" spans="1:39" customFormat="1" x14ac:dyDescent="0.25">
      <c r="A918" s="4">
        <v>44768</v>
      </c>
      <c r="B918" s="1">
        <v>1</v>
      </c>
      <c r="C918" s="1"/>
      <c r="D918" s="13">
        <v>1</v>
      </c>
      <c r="E918" s="12">
        <v>16</v>
      </c>
      <c r="F918" s="18">
        <v>1</v>
      </c>
      <c r="G918" s="1"/>
      <c r="H918" s="30">
        <v>2</v>
      </c>
      <c r="I918" s="1"/>
      <c r="J918" s="32">
        <v>5</v>
      </c>
      <c r="K918" s="15">
        <v>249</v>
      </c>
      <c r="L918" s="1"/>
      <c r="M918" s="18"/>
      <c r="N918" s="10">
        <v>222</v>
      </c>
      <c r="O918" s="1"/>
      <c r="P918" s="5">
        <v>8</v>
      </c>
      <c r="Q918" s="1"/>
      <c r="R918" s="1"/>
      <c r="S918" s="18"/>
      <c r="T918" s="1"/>
      <c r="U918" s="32">
        <v>7</v>
      </c>
      <c r="V918" s="1"/>
      <c r="W918" s="1"/>
      <c r="X918" s="1"/>
      <c r="Y918" s="18"/>
      <c r="Z918" s="1"/>
      <c r="AA918" s="1"/>
      <c r="AB918" s="44">
        <v>21</v>
      </c>
      <c r="AC918" s="1"/>
      <c r="AD918" s="1"/>
      <c r="AE918" s="18"/>
      <c r="AF918" s="57">
        <v>13</v>
      </c>
      <c r="AG918" s="1"/>
      <c r="AH918" s="57">
        <v>2</v>
      </c>
      <c r="AI918" s="1">
        <v>1</v>
      </c>
      <c r="AJ918" s="1">
        <v>4</v>
      </c>
      <c r="AK918" s="1"/>
      <c r="AL918" s="1"/>
      <c r="AM918" s="11"/>
    </row>
    <row r="919" spans="1:39" customFormat="1" x14ac:dyDescent="0.25">
      <c r="A919" s="4">
        <v>44769</v>
      </c>
      <c r="B919" s="1">
        <v>1</v>
      </c>
      <c r="C919" s="1"/>
      <c r="D919" s="13">
        <v>3</v>
      </c>
      <c r="E919" s="12">
        <v>14</v>
      </c>
      <c r="F919" s="1"/>
      <c r="G919" s="1"/>
      <c r="H919" s="30">
        <v>3</v>
      </c>
      <c r="I919" s="1"/>
      <c r="J919" s="32">
        <v>12</v>
      </c>
      <c r="K919" s="15">
        <v>148</v>
      </c>
      <c r="L919" s="1"/>
      <c r="M919" s="18"/>
      <c r="N919" s="10">
        <v>212</v>
      </c>
      <c r="O919" s="1"/>
      <c r="P919" s="5">
        <v>11</v>
      </c>
      <c r="Q919" s="1"/>
      <c r="R919" s="1"/>
      <c r="S919" s="18"/>
      <c r="T919" s="1"/>
      <c r="U919" s="32">
        <v>2</v>
      </c>
      <c r="V919" s="1"/>
      <c r="W919" s="1"/>
      <c r="X919" s="1"/>
      <c r="Y919" s="18"/>
      <c r="Z919" s="1"/>
      <c r="AA919" s="1"/>
      <c r="AB919" s="44">
        <v>49</v>
      </c>
      <c r="AC919" s="1"/>
      <c r="AD919" s="1"/>
      <c r="AE919" s="18"/>
      <c r="AF919" s="57">
        <v>23</v>
      </c>
      <c r="AG919" s="1"/>
      <c r="AH919" s="18">
        <v>0</v>
      </c>
      <c r="AI919" s="1"/>
      <c r="AJ919" s="1">
        <v>2</v>
      </c>
      <c r="AK919" s="1"/>
      <c r="AL919" s="1"/>
      <c r="AM919" s="11"/>
    </row>
    <row r="920" spans="1:39" customFormat="1" x14ac:dyDescent="0.25">
      <c r="A920" s="4">
        <v>44770</v>
      </c>
      <c r="B920" s="1"/>
      <c r="C920" s="1"/>
      <c r="D920" s="13">
        <v>2</v>
      </c>
      <c r="E920" s="12">
        <v>7</v>
      </c>
      <c r="F920" s="1"/>
      <c r="G920" s="1"/>
      <c r="H920" s="30">
        <v>1</v>
      </c>
      <c r="I920" s="1">
        <v>1</v>
      </c>
      <c r="J920" s="32">
        <v>6</v>
      </c>
      <c r="K920" s="15">
        <v>129</v>
      </c>
      <c r="L920" s="1"/>
      <c r="M920" s="18"/>
      <c r="N920" s="10">
        <v>119</v>
      </c>
      <c r="O920" s="1"/>
      <c r="P920" s="5">
        <v>20</v>
      </c>
      <c r="Q920" s="1"/>
      <c r="R920" s="1"/>
      <c r="S920" s="18"/>
      <c r="T920" s="1"/>
      <c r="U920" s="32">
        <v>4</v>
      </c>
      <c r="V920" s="1"/>
      <c r="W920" s="1"/>
      <c r="X920" s="1"/>
      <c r="Y920" s="18"/>
      <c r="Z920" s="1"/>
      <c r="AA920" s="1"/>
      <c r="AB920" s="44">
        <v>98</v>
      </c>
      <c r="AC920" s="1"/>
      <c r="AD920" s="1"/>
      <c r="AE920" s="18"/>
      <c r="AF920" s="57">
        <v>39</v>
      </c>
      <c r="AG920" s="1"/>
      <c r="AH920" s="18">
        <v>1</v>
      </c>
      <c r="AI920" s="1"/>
      <c r="AJ920" s="1"/>
      <c r="AK920" s="1"/>
      <c r="AL920" s="1"/>
      <c r="AM920" s="11"/>
    </row>
    <row r="921" spans="1:39" customFormat="1" x14ac:dyDescent="0.25">
      <c r="A921" s="4">
        <v>44771</v>
      </c>
      <c r="B921" s="1"/>
      <c r="C921" s="1"/>
      <c r="D921" s="13">
        <v>2</v>
      </c>
      <c r="E921" s="12">
        <v>5</v>
      </c>
      <c r="F921" s="1"/>
      <c r="G921" s="1"/>
      <c r="H921" s="1"/>
      <c r="I921" s="1"/>
      <c r="J921" s="32">
        <v>2</v>
      </c>
      <c r="K921" s="15">
        <v>98</v>
      </c>
      <c r="L921" s="1"/>
      <c r="M921" s="18"/>
      <c r="N921" s="10">
        <v>92</v>
      </c>
      <c r="O921" s="1"/>
      <c r="P921" s="5">
        <v>22</v>
      </c>
      <c r="Q921" s="1"/>
      <c r="R921" s="1"/>
      <c r="S921" s="18"/>
      <c r="T921" s="1"/>
      <c r="U921" s="1"/>
      <c r="V921" s="1"/>
      <c r="W921" s="1"/>
      <c r="X921" s="1"/>
      <c r="Y921" s="18"/>
      <c r="Z921" s="1"/>
      <c r="AA921" s="1"/>
      <c r="AB921" s="44">
        <v>58</v>
      </c>
      <c r="AC921" s="1"/>
      <c r="AD921" s="1"/>
      <c r="AE921" s="18"/>
      <c r="AF921" s="57">
        <v>19</v>
      </c>
      <c r="AG921" s="1"/>
      <c r="AH921" s="18">
        <v>1</v>
      </c>
      <c r="AI921" s="1"/>
      <c r="AJ921" s="1"/>
      <c r="AK921" s="1"/>
      <c r="AL921" s="1"/>
      <c r="AM921" s="11"/>
    </row>
    <row r="922" spans="1:39" customFormat="1" x14ac:dyDescent="0.25">
      <c r="A922" s="4">
        <v>44772</v>
      </c>
      <c r="B922" s="1"/>
      <c r="C922" s="1"/>
      <c r="D922" s="13">
        <v>7</v>
      </c>
      <c r="E922" s="12">
        <v>6</v>
      </c>
      <c r="F922" s="1"/>
      <c r="G922" s="1"/>
      <c r="H922" s="1"/>
      <c r="I922" s="1">
        <v>1</v>
      </c>
      <c r="J922" s="32">
        <v>3</v>
      </c>
      <c r="K922" s="15">
        <v>156</v>
      </c>
      <c r="L922" s="1"/>
      <c r="M922" s="18"/>
      <c r="N922" s="10">
        <v>110</v>
      </c>
      <c r="O922" s="1"/>
      <c r="P922" s="5">
        <v>34</v>
      </c>
      <c r="Q922" s="1"/>
      <c r="R922" s="1">
        <v>1</v>
      </c>
      <c r="S922" s="18"/>
      <c r="T922" s="1"/>
      <c r="U922" s="1"/>
      <c r="V922" s="1"/>
      <c r="W922" s="1"/>
      <c r="X922" s="1"/>
      <c r="Y922" s="18"/>
      <c r="Z922" s="1"/>
      <c r="AA922" s="1"/>
      <c r="AB922" s="44">
        <v>53</v>
      </c>
      <c r="AC922" s="1"/>
      <c r="AD922" s="1"/>
      <c r="AE922" s="18"/>
      <c r="AF922" s="57">
        <v>8</v>
      </c>
      <c r="AG922" s="13">
        <v>10</v>
      </c>
      <c r="AH922" s="18">
        <v>0</v>
      </c>
      <c r="AI922" s="1"/>
      <c r="AJ922" s="1"/>
      <c r="AK922" s="1"/>
      <c r="AL922" s="1"/>
      <c r="AM922" s="11"/>
    </row>
    <row r="923" spans="1:39" customFormat="1" x14ac:dyDescent="0.25">
      <c r="A923" s="4">
        <v>44773</v>
      </c>
      <c r="B923" s="1"/>
      <c r="C923" s="1">
        <v>1</v>
      </c>
      <c r="D923" s="13">
        <v>1</v>
      </c>
      <c r="E923" s="12">
        <v>0</v>
      </c>
      <c r="F923" s="1"/>
      <c r="G923" s="1"/>
      <c r="H923" s="1"/>
      <c r="I923" s="1">
        <v>1</v>
      </c>
      <c r="J923" s="32">
        <v>2</v>
      </c>
      <c r="K923" s="15">
        <v>64</v>
      </c>
      <c r="L923" s="1"/>
      <c r="M923" s="18"/>
      <c r="N923" s="10">
        <v>70</v>
      </c>
      <c r="O923" s="1"/>
      <c r="P923" s="5">
        <v>43</v>
      </c>
      <c r="Q923" s="1"/>
      <c r="R923" s="1"/>
      <c r="S923" s="18"/>
      <c r="T923" s="1"/>
      <c r="U923" s="1"/>
      <c r="V923" s="1"/>
      <c r="W923" s="1"/>
      <c r="X923" s="1"/>
      <c r="Y923" s="18"/>
      <c r="Z923" s="29">
        <v>4</v>
      </c>
      <c r="AA923" s="1"/>
      <c r="AB923" s="44">
        <v>51</v>
      </c>
      <c r="AC923" s="1"/>
      <c r="AD923" s="1"/>
      <c r="AE923" s="18"/>
      <c r="AF923" s="57">
        <v>7</v>
      </c>
      <c r="AG923" s="13">
        <v>14</v>
      </c>
      <c r="AH923" s="18">
        <v>2</v>
      </c>
      <c r="AI923" s="1"/>
      <c r="AJ923" s="1"/>
      <c r="AK923" s="1"/>
      <c r="AL923" s="1"/>
      <c r="AM923" s="11"/>
    </row>
    <row r="924" spans="1:39" customFormat="1" x14ac:dyDescent="0.25">
      <c r="A924" s="4">
        <v>44774</v>
      </c>
      <c r="B924" s="1"/>
      <c r="C924" s="1"/>
      <c r="D924" s="13">
        <v>4</v>
      </c>
      <c r="E924" s="12">
        <v>0</v>
      </c>
      <c r="F924" s="1"/>
      <c r="G924" s="1"/>
      <c r="H924" s="1"/>
      <c r="I924" s="1">
        <v>7</v>
      </c>
      <c r="J924" s="32">
        <v>1</v>
      </c>
      <c r="K924" s="15">
        <v>98</v>
      </c>
      <c r="L924" s="1"/>
      <c r="M924" s="18"/>
      <c r="N924" s="10">
        <v>71</v>
      </c>
      <c r="O924" s="1"/>
      <c r="P924" s="5">
        <v>68</v>
      </c>
      <c r="Q924" s="1"/>
      <c r="R924" s="1"/>
      <c r="S924" s="18"/>
      <c r="T924" s="1"/>
      <c r="U924" s="1">
        <v>2</v>
      </c>
      <c r="V924" s="1"/>
      <c r="W924" s="1"/>
      <c r="X924" s="1"/>
      <c r="Y924" s="18"/>
      <c r="Z924" s="29">
        <v>15</v>
      </c>
      <c r="AA924" s="1"/>
      <c r="AB924" s="44">
        <v>47</v>
      </c>
      <c r="AC924" s="1"/>
      <c r="AD924" s="1"/>
      <c r="AE924" s="18"/>
      <c r="AF924" s="57">
        <v>7</v>
      </c>
      <c r="AG924" s="13">
        <v>32</v>
      </c>
      <c r="AH924" s="18">
        <v>0</v>
      </c>
      <c r="AI924" s="1"/>
      <c r="AJ924" s="1"/>
      <c r="AK924" s="1"/>
      <c r="AL924" s="1"/>
      <c r="AM924" s="11"/>
    </row>
    <row r="925" spans="1:39" customFormat="1" x14ac:dyDescent="0.25">
      <c r="A925" s="4">
        <v>44775</v>
      </c>
      <c r="B925" s="1"/>
      <c r="C925" s="1"/>
      <c r="D925" s="1"/>
      <c r="E925" s="12">
        <v>0</v>
      </c>
      <c r="F925" s="1"/>
      <c r="G925" s="1"/>
      <c r="H925" s="1"/>
      <c r="I925" s="1"/>
      <c r="J925" s="1"/>
      <c r="K925" s="15">
        <v>76</v>
      </c>
      <c r="L925" s="1"/>
      <c r="M925" s="18"/>
      <c r="N925" s="10">
        <v>37</v>
      </c>
      <c r="O925" s="1"/>
      <c r="P925" s="5">
        <v>56</v>
      </c>
      <c r="Q925" s="1"/>
      <c r="R925" s="1"/>
      <c r="S925" s="18"/>
      <c r="T925" s="49">
        <v>1</v>
      </c>
      <c r="U925" s="1">
        <v>1</v>
      </c>
      <c r="V925" s="1"/>
      <c r="W925" s="1"/>
      <c r="X925" s="1"/>
      <c r="Y925" s="18"/>
      <c r="Z925" s="29">
        <v>11</v>
      </c>
      <c r="AA925" s="1"/>
      <c r="AB925" s="44">
        <v>39</v>
      </c>
      <c r="AC925" s="1"/>
      <c r="AD925" s="1"/>
      <c r="AE925" s="18"/>
      <c r="AF925" s="57">
        <v>6</v>
      </c>
      <c r="AG925" s="13">
        <f>20+11</f>
        <v>31</v>
      </c>
      <c r="AH925" s="18">
        <v>1</v>
      </c>
      <c r="AI925" s="50">
        <v>4</v>
      </c>
      <c r="AJ925" s="1"/>
      <c r="AK925" s="1"/>
      <c r="AL925" s="1"/>
      <c r="AM925" s="11"/>
    </row>
    <row r="926" spans="1:39" customFormat="1" x14ac:dyDescent="0.25">
      <c r="A926" s="4">
        <v>44776</v>
      </c>
      <c r="B926" s="1"/>
      <c r="C926" s="1">
        <v>1</v>
      </c>
      <c r="D926" s="1"/>
      <c r="E926" s="12">
        <v>2</v>
      </c>
      <c r="F926" s="43">
        <v>2</v>
      </c>
      <c r="G926" s="1"/>
      <c r="H926" s="1"/>
      <c r="I926" s="1">
        <v>2</v>
      </c>
      <c r="J926" s="1"/>
      <c r="K926" s="15">
        <v>63</v>
      </c>
      <c r="L926" s="1"/>
      <c r="M926" s="18"/>
      <c r="N926" s="10">
        <v>11</v>
      </c>
      <c r="O926" s="1"/>
      <c r="P926" s="5">
        <v>43</v>
      </c>
      <c r="Q926" s="1"/>
      <c r="R926" s="1"/>
      <c r="S926" s="18"/>
      <c r="T926" s="49">
        <v>1</v>
      </c>
      <c r="U926" s="1"/>
      <c r="V926" s="1">
        <v>2</v>
      </c>
      <c r="W926" s="1"/>
      <c r="X926" s="1"/>
      <c r="Y926" s="18"/>
      <c r="Z926" s="29">
        <v>14</v>
      </c>
      <c r="AA926" s="1"/>
      <c r="AB926" s="44">
        <v>26</v>
      </c>
      <c r="AC926" s="1"/>
      <c r="AD926" s="1"/>
      <c r="AE926" s="18"/>
      <c r="AF926" s="1"/>
      <c r="AG926" s="13">
        <f>25+18</f>
        <v>43</v>
      </c>
      <c r="AH926" s="18">
        <v>1</v>
      </c>
      <c r="AI926" s="50">
        <v>50</v>
      </c>
      <c r="AJ926" s="1"/>
      <c r="AK926" s="1"/>
      <c r="AL926" s="1"/>
      <c r="AM926" s="11"/>
    </row>
    <row r="927" spans="1:39" customFormat="1" x14ac:dyDescent="0.25">
      <c r="A927" s="4">
        <v>44777</v>
      </c>
      <c r="B927" s="1"/>
      <c r="C927" s="1"/>
      <c r="D927" s="1">
        <v>1</v>
      </c>
      <c r="E927" s="1"/>
      <c r="F927" s="43">
        <v>12</v>
      </c>
      <c r="G927" s="1"/>
      <c r="H927" s="1"/>
      <c r="I927" s="1"/>
      <c r="J927" s="32">
        <v>1</v>
      </c>
      <c r="K927" s="15">
        <v>37</v>
      </c>
      <c r="L927" s="1">
        <v>1</v>
      </c>
      <c r="M927" s="18"/>
      <c r="N927" s="10">
        <v>10</v>
      </c>
      <c r="O927" s="1"/>
      <c r="P927" s="5">
        <v>42</v>
      </c>
      <c r="Q927" s="1"/>
      <c r="R927" s="1"/>
      <c r="S927" s="18"/>
      <c r="T927" s="49">
        <v>2</v>
      </c>
      <c r="U927" s="1">
        <v>1</v>
      </c>
      <c r="V927" s="1"/>
      <c r="W927" s="1"/>
      <c r="X927" s="1">
        <v>1</v>
      </c>
      <c r="Y927" s="18"/>
      <c r="Z927" s="29">
        <v>3</v>
      </c>
      <c r="AA927" s="1"/>
      <c r="AB927" s="44">
        <v>16</v>
      </c>
      <c r="AC927" s="1"/>
      <c r="AD927" s="1"/>
      <c r="AE927" s="18"/>
      <c r="AF927" s="31">
        <v>1</v>
      </c>
      <c r="AG927" s="13">
        <v>41</v>
      </c>
      <c r="AH927" s="1"/>
      <c r="AI927" s="50">
        <v>57</v>
      </c>
      <c r="AJ927" s="1"/>
      <c r="AK927" s="1"/>
      <c r="AL927" s="1"/>
      <c r="AM927" s="11"/>
    </row>
    <row r="928" spans="1:39" customFormat="1" x14ac:dyDescent="0.25">
      <c r="A928" s="4">
        <v>44778</v>
      </c>
      <c r="B928" s="1"/>
      <c r="C928" s="1"/>
      <c r="D928" s="1">
        <v>1</v>
      </c>
      <c r="E928" s="1"/>
      <c r="F928" s="43">
        <v>5</v>
      </c>
      <c r="G928" s="1"/>
      <c r="H928" s="1">
        <v>2</v>
      </c>
      <c r="I928" s="1"/>
      <c r="J928" s="32">
        <v>13</v>
      </c>
      <c r="K928" s="15">
        <v>30</v>
      </c>
      <c r="L928" s="1">
        <v>1</v>
      </c>
      <c r="M928" s="18"/>
      <c r="N928" s="10">
        <v>2</v>
      </c>
      <c r="O928" s="1"/>
      <c r="P928" s="5">
        <v>28</v>
      </c>
      <c r="Q928" s="1"/>
      <c r="R928" s="1"/>
      <c r="S928" s="18"/>
      <c r="T928" s="49">
        <v>8</v>
      </c>
      <c r="U928" s="1"/>
      <c r="V928" s="1">
        <v>2</v>
      </c>
      <c r="W928" s="1"/>
      <c r="X928" s="1"/>
      <c r="Y928" s="18"/>
      <c r="Z928" s="29">
        <v>26</v>
      </c>
      <c r="AA928" s="1"/>
      <c r="AB928" s="44">
        <v>7</v>
      </c>
      <c r="AC928" s="1"/>
      <c r="AD928" s="1"/>
      <c r="AE928" s="18"/>
      <c r="AF928" s="31">
        <v>1</v>
      </c>
      <c r="AG928" s="13">
        <f>42+6</f>
        <v>48</v>
      </c>
      <c r="AH928" s="1"/>
      <c r="AI928" s="50">
        <v>95</v>
      </c>
      <c r="AJ928" s="1"/>
      <c r="AK928" s="1"/>
      <c r="AL928" s="1"/>
      <c r="AM928" s="11"/>
    </row>
    <row r="929" spans="1:39" customFormat="1" x14ac:dyDescent="0.25">
      <c r="A929" s="4">
        <v>44779</v>
      </c>
      <c r="B929" s="1">
        <v>1</v>
      </c>
      <c r="C929" s="1"/>
      <c r="D929" s="1"/>
      <c r="E929" s="1"/>
      <c r="F929" s="43">
        <v>7</v>
      </c>
      <c r="G929" s="1"/>
      <c r="H929" s="1"/>
      <c r="I929" s="1"/>
      <c r="J929" s="32">
        <v>17</v>
      </c>
      <c r="K929" s="15">
        <v>22</v>
      </c>
      <c r="L929" s="1">
        <v>1</v>
      </c>
      <c r="M929" s="18"/>
      <c r="N929" s="10">
        <v>7</v>
      </c>
      <c r="O929" s="1"/>
      <c r="P929" s="5">
        <v>31</v>
      </c>
      <c r="Q929" s="1"/>
      <c r="R929" s="1">
        <v>4</v>
      </c>
      <c r="S929" s="18"/>
      <c r="T929" s="49">
        <v>5</v>
      </c>
      <c r="U929" s="1"/>
      <c r="V929" s="1">
        <v>2</v>
      </c>
      <c r="W929" s="1"/>
      <c r="X929" s="1"/>
      <c r="Y929" s="18"/>
      <c r="Z929" s="29">
        <v>16</v>
      </c>
      <c r="AA929" s="1"/>
      <c r="AB929" s="44">
        <v>4</v>
      </c>
      <c r="AC929" s="1"/>
      <c r="AD929" s="1"/>
      <c r="AE929" s="18"/>
      <c r="AF929" s="31">
        <v>2</v>
      </c>
      <c r="AG929" s="13">
        <f>52+8</f>
        <v>60</v>
      </c>
      <c r="AH929" s="1"/>
      <c r="AI929" s="50">
        <v>71</v>
      </c>
      <c r="AJ929" s="1"/>
      <c r="AK929" s="1"/>
      <c r="AL929" s="1"/>
      <c r="AM929" s="11"/>
    </row>
    <row r="930" spans="1:39" customFormat="1" x14ac:dyDescent="0.25">
      <c r="A930" s="4">
        <v>44780</v>
      </c>
      <c r="B930" s="1"/>
      <c r="C930" s="1">
        <v>2</v>
      </c>
      <c r="D930" s="1"/>
      <c r="E930" s="1"/>
      <c r="F930" s="43">
        <v>4</v>
      </c>
      <c r="G930" s="1"/>
      <c r="H930" s="1"/>
      <c r="I930" s="1"/>
      <c r="J930" s="32">
        <v>43</v>
      </c>
      <c r="K930" s="15">
        <v>10</v>
      </c>
      <c r="L930" s="1"/>
      <c r="M930" s="18"/>
      <c r="N930" s="10">
        <v>3</v>
      </c>
      <c r="O930" s="1"/>
      <c r="P930" s="5">
        <v>25</v>
      </c>
      <c r="Q930" s="1"/>
      <c r="R930" s="1"/>
      <c r="S930" s="18"/>
      <c r="T930" s="49">
        <v>15</v>
      </c>
      <c r="U930" s="1"/>
      <c r="V930" s="1">
        <v>2</v>
      </c>
      <c r="W930" s="1"/>
      <c r="X930" s="1"/>
      <c r="Y930" s="18"/>
      <c r="Z930" s="29">
        <v>14</v>
      </c>
      <c r="AA930" s="1"/>
      <c r="AB930" s="44">
        <v>3</v>
      </c>
      <c r="AC930" s="1"/>
      <c r="AD930" s="1"/>
      <c r="AE930" s="18"/>
      <c r="AF930" s="31">
        <v>1</v>
      </c>
      <c r="AG930" s="13">
        <f>69+11</f>
        <v>80</v>
      </c>
      <c r="AH930" s="1"/>
      <c r="AI930" s="50">
        <v>82</v>
      </c>
      <c r="AJ930" s="13">
        <v>10</v>
      </c>
      <c r="AK930" s="1"/>
      <c r="AL930" s="1"/>
      <c r="AM930" s="11"/>
    </row>
    <row r="931" spans="1:39" customFormat="1" x14ac:dyDescent="0.25">
      <c r="A931" s="4">
        <v>44781</v>
      </c>
      <c r="B931" s="1"/>
      <c r="C931" s="1"/>
      <c r="D931" s="1">
        <v>1</v>
      </c>
      <c r="E931" s="1"/>
      <c r="F931" s="43">
        <v>4</v>
      </c>
      <c r="G931" s="1"/>
      <c r="H931" s="1">
        <v>1</v>
      </c>
      <c r="I931" s="12">
        <v>5</v>
      </c>
      <c r="J931" s="32">
        <v>37</v>
      </c>
      <c r="K931" s="15">
        <v>25</v>
      </c>
      <c r="L931" s="1"/>
      <c r="M931" s="18"/>
      <c r="N931" s="10">
        <v>2</v>
      </c>
      <c r="O931" s="1"/>
      <c r="P931" s="5">
        <v>5</v>
      </c>
      <c r="Q931" s="1"/>
      <c r="R931" s="1"/>
      <c r="S931" s="18"/>
      <c r="T931" s="49">
        <v>1</v>
      </c>
      <c r="U931" s="25">
        <v>1</v>
      </c>
      <c r="V931" s="1">
        <v>5</v>
      </c>
      <c r="W931" s="1"/>
      <c r="X931" s="1"/>
      <c r="Y931" s="18"/>
      <c r="Z931" s="29">
        <v>18</v>
      </c>
      <c r="AA931" s="1"/>
      <c r="AB931" s="1"/>
      <c r="AC931" s="1"/>
      <c r="AD931" s="1"/>
      <c r="AE931" s="18"/>
      <c r="AF931" s="31">
        <v>3</v>
      </c>
      <c r="AG931" s="13">
        <f>146+7</f>
        <v>153</v>
      </c>
      <c r="AH931" s="1"/>
      <c r="AI931" s="50">
        <v>67</v>
      </c>
      <c r="AJ931" s="13">
        <v>4</v>
      </c>
      <c r="AK931" s="1"/>
      <c r="AL931" s="1"/>
      <c r="AM931" s="11"/>
    </row>
    <row r="932" spans="1:39" customFormat="1" x14ac:dyDescent="0.25">
      <c r="A932" s="4">
        <v>44782</v>
      </c>
      <c r="B932" s="1"/>
      <c r="C932" s="1"/>
      <c r="D932" s="1"/>
      <c r="E932" s="1"/>
      <c r="F932" s="43">
        <v>3</v>
      </c>
      <c r="G932" s="1"/>
      <c r="H932" s="1">
        <v>2</v>
      </c>
      <c r="I932" s="12">
        <v>9</v>
      </c>
      <c r="J932" s="32">
        <v>46</v>
      </c>
      <c r="K932" s="15">
        <v>11</v>
      </c>
      <c r="L932" s="1">
        <v>2</v>
      </c>
      <c r="M932" s="18"/>
      <c r="N932" s="10">
        <v>1</v>
      </c>
      <c r="O932" s="1"/>
      <c r="P932" s="5">
        <v>10</v>
      </c>
      <c r="Q932" s="1"/>
      <c r="R932" s="1">
        <v>2</v>
      </c>
      <c r="S932" s="18"/>
      <c r="T932" s="49">
        <v>3</v>
      </c>
      <c r="U932" s="25">
        <v>5</v>
      </c>
      <c r="V932" s="1"/>
      <c r="W932" s="1"/>
      <c r="X932" s="1"/>
      <c r="Y932" s="18"/>
      <c r="Z932" s="29">
        <v>32</v>
      </c>
      <c r="AA932" s="1"/>
      <c r="AB932" s="1"/>
      <c r="AC932" s="1"/>
      <c r="AD932" s="1"/>
      <c r="AE932" s="18"/>
      <c r="AF932" s="31">
        <v>2</v>
      </c>
      <c r="AG932" s="13">
        <f>122+21</f>
        <v>143</v>
      </c>
      <c r="AH932" s="1">
        <v>1</v>
      </c>
      <c r="AI932" s="50">
        <v>49</v>
      </c>
      <c r="AJ932" s="13">
        <v>25</v>
      </c>
      <c r="AK932" s="1"/>
      <c r="AL932" s="1"/>
      <c r="AM932" s="11"/>
    </row>
    <row r="933" spans="1:39" customFormat="1" x14ac:dyDescent="0.25">
      <c r="A933" s="4">
        <v>44783</v>
      </c>
      <c r="B933" s="1"/>
      <c r="C933" s="1">
        <v>2</v>
      </c>
      <c r="D933" s="1"/>
      <c r="E933" s="1"/>
      <c r="F933" s="43">
        <v>4</v>
      </c>
      <c r="G933" s="1"/>
      <c r="H933" s="1"/>
      <c r="I933" s="12">
        <v>4</v>
      </c>
      <c r="J933" s="32">
        <v>29</v>
      </c>
      <c r="K933" s="15">
        <v>5</v>
      </c>
      <c r="L933" s="1"/>
      <c r="M933" s="18"/>
      <c r="N933" s="10">
        <v>7</v>
      </c>
      <c r="O933" s="1"/>
      <c r="P933" s="5">
        <v>1</v>
      </c>
      <c r="Q933" s="1"/>
      <c r="R933" s="1"/>
      <c r="S933" s="18"/>
      <c r="T933" s="49">
        <v>2</v>
      </c>
      <c r="U933" s="25">
        <v>18</v>
      </c>
      <c r="V933" s="1">
        <v>1</v>
      </c>
      <c r="W933" s="1"/>
      <c r="X933" s="1"/>
      <c r="Y933" s="18"/>
      <c r="Z933" s="29">
        <v>10</v>
      </c>
      <c r="AA933" s="1"/>
      <c r="AB933" s="1"/>
      <c r="AC933" s="1"/>
      <c r="AD933" s="26">
        <v>1</v>
      </c>
      <c r="AE933" s="18"/>
      <c r="AF933" s="31">
        <v>5</v>
      </c>
      <c r="AG933" s="13">
        <v>380</v>
      </c>
      <c r="AH933" s="1"/>
      <c r="AI933" s="50">
        <v>59</v>
      </c>
      <c r="AJ933" s="13">
        <v>8</v>
      </c>
      <c r="AK933" s="1"/>
      <c r="AL933" s="1"/>
      <c r="AM933" s="11"/>
    </row>
    <row r="934" spans="1:39" customFormat="1" x14ac:dyDescent="0.25">
      <c r="A934" s="4">
        <v>44784</v>
      </c>
      <c r="B934" s="1"/>
      <c r="C934" s="1"/>
      <c r="D934" s="1"/>
      <c r="E934" s="18">
        <v>7</v>
      </c>
      <c r="F934" s="43">
        <v>2</v>
      </c>
      <c r="G934" s="1"/>
      <c r="H934" s="1"/>
      <c r="I934" s="12">
        <v>5</v>
      </c>
      <c r="J934" s="32">
        <v>29</v>
      </c>
      <c r="K934" s="15">
        <v>5</v>
      </c>
      <c r="L934" s="1"/>
      <c r="M934" s="18"/>
      <c r="N934" s="10">
        <v>1</v>
      </c>
      <c r="O934" s="1"/>
      <c r="P934" s="5">
        <v>2</v>
      </c>
      <c r="Q934" s="1"/>
      <c r="R934" s="1">
        <v>4</v>
      </c>
      <c r="S934" s="18"/>
      <c r="T934" s="1"/>
      <c r="U934" s="25">
        <v>11</v>
      </c>
      <c r="V934" s="1"/>
      <c r="W934" s="1"/>
      <c r="X934" s="1"/>
      <c r="Y934" s="18"/>
      <c r="Z934" s="29">
        <v>16</v>
      </c>
      <c r="AA934" s="1"/>
      <c r="AB934" s="1"/>
      <c r="AC934" s="1"/>
      <c r="AD934" s="26">
        <v>2</v>
      </c>
      <c r="AE934" s="18"/>
      <c r="AF934" s="31">
        <v>1</v>
      </c>
      <c r="AG934" s="13">
        <f>410+43</f>
        <v>453</v>
      </c>
      <c r="AH934" s="1">
        <v>1</v>
      </c>
      <c r="AI934" s="50">
        <v>60</v>
      </c>
      <c r="AJ934" s="13">
        <v>6</v>
      </c>
      <c r="AK934" s="1"/>
      <c r="AL934" s="1"/>
      <c r="AM934" s="11"/>
    </row>
    <row r="935" spans="1:39" customFormat="1" x14ac:dyDescent="0.25">
      <c r="A935" s="4">
        <v>44785</v>
      </c>
      <c r="B935" s="18">
        <v>1</v>
      </c>
      <c r="C935" s="1"/>
      <c r="D935" s="1"/>
      <c r="E935" s="18">
        <v>4</v>
      </c>
      <c r="F935" s="43">
        <v>6</v>
      </c>
      <c r="G935" s="1"/>
      <c r="H935" s="1">
        <v>1</v>
      </c>
      <c r="I935" s="12">
        <v>2</v>
      </c>
      <c r="J935" s="32">
        <v>21</v>
      </c>
      <c r="K935" s="15">
        <v>4</v>
      </c>
      <c r="L935" s="1"/>
      <c r="M935" s="18"/>
      <c r="N935" s="10">
        <v>5</v>
      </c>
      <c r="O935" s="1"/>
      <c r="P935" s="1"/>
      <c r="Q935" s="1"/>
      <c r="R935" s="1"/>
      <c r="S935" s="18"/>
      <c r="T935" s="1"/>
      <c r="U935" s="25">
        <v>37</v>
      </c>
      <c r="V935" s="1"/>
      <c r="W935" s="1"/>
      <c r="X935" s="1"/>
      <c r="Y935" s="18"/>
      <c r="Z935" s="29">
        <v>9</v>
      </c>
      <c r="AA935" s="36">
        <v>5</v>
      </c>
      <c r="AB935" s="1"/>
      <c r="AC935" s="1"/>
      <c r="AD935" s="26">
        <v>1</v>
      </c>
      <c r="AE935" s="18"/>
      <c r="AF935" s="31">
        <v>8</v>
      </c>
      <c r="AG935" s="13">
        <f>334+50</f>
        <v>384</v>
      </c>
      <c r="AH935" s="1"/>
      <c r="AI935" s="50">
        <v>39</v>
      </c>
      <c r="AJ935" s="13">
        <v>9</v>
      </c>
      <c r="AK935" s="1"/>
      <c r="AL935" s="1"/>
      <c r="AM935" s="11"/>
    </row>
    <row r="936" spans="1:39" customFormat="1" x14ac:dyDescent="0.25">
      <c r="A936" s="4">
        <v>44786</v>
      </c>
      <c r="B936" s="18">
        <v>0</v>
      </c>
      <c r="C936" s="1"/>
      <c r="D936" s="1"/>
      <c r="E936" s="18">
        <v>5</v>
      </c>
      <c r="F936" s="43">
        <v>3</v>
      </c>
      <c r="G936" s="1"/>
      <c r="H936" s="1"/>
      <c r="I936" s="12">
        <v>4</v>
      </c>
      <c r="J936" s="32">
        <v>13</v>
      </c>
      <c r="K936" s="15">
        <v>2</v>
      </c>
      <c r="L936" s="1"/>
      <c r="M936" s="18"/>
      <c r="N936" s="10">
        <v>1</v>
      </c>
      <c r="O936" s="1"/>
      <c r="P936" s="1"/>
      <c r="Q936" s="1"/>
      <c r="R936" s="1"/>
      <c r="S936" s="18"/>
      <c r="T936" s="14">
        <v>3</v>
      </c>
      <c r="U936" s="25">
        <v>49</v>
      </c>
      <c r="V936" s="1"/>
      <c r="W936" s="1"/>
      <c r="X936" s="1"/>
      <c r="Y936" s="18"/>
      <c r="Z936" s="29">
        <v>7</v>
      </c>
      <c r="AA936" s="36">
        <v>5</v>
      </c>
      <c r="AB936" s="1"/>
      <c r="AC936" s="1"/>
      <c r="AD936" s="26">
        <v>1</v>
      </c>
      <c r="AE936" s="18"/>
      <c r="AF936" s="31">
        <v>5</v>
      </c>
      <c r="AG936" s="13">
        <f>396+54</f>
        <v>450</v>
      </c>
      <c r="AH936" s="1"/>
      <c r="AI936" s="50">
        <v>45</v>
      </c>
      <c r="AJ936" s="13">
        <v>4</v>
      </c>
      <c r="AK936" s="1"/>
      <c r="AL936" s="1"/>
      <c r="AM936" s="11"/>
    </row>
    <row r="937" spans="1:39" customFormat="1" x14ac:dyDescent="0.25">
      <c r="A937" s="4">
        <v>44787</v>
      </c>
      <c r="B937" s="18">
        <v>1</v>
      </c>
      <c r="C937" s="1"/>
      <c r="D937" s="1"/>
      <c r="E937" s="18">
        <v>6</v>
      </c>
      <c r="F937" s="43">
        <v>3</v>
      </c>
      <c r="G937" s="1"/>
      <c r="H937" s="1"/>
      <c r="I937" s="12">
        <v>7</v>
      </c>
      <c r="J937" s="32">
        <v>14</v>
      </c>
      <c r="K937" s="15">
        <v>3</v>
      </c>
      <c r="L937" s="1"/>
      <c r="M937" s="18"/>
      <c r="N937" s="1"/>
      <c r="O937" s="1"/>
      <c r="P937" s="10">
        <v>2</v>
      </c>
      <c r="Q937" s="1"/>
      <c r="R937" s="1"/>
      <c r="S937" s="18"/>
      <c r="T937" s="14">
        <v>4</v>
      </c>
      <c r="U937" s="25">
        <v>53</v>
      </c>
      <c r="V937" s="1"/>
      <c r="W937" s="1"/>
      <c r="X937" s="1"/>
      <c r="Y937" s="18"/>
      <c r="Z937" s="29">
        <v>11</v>
      </c>
      <c r="AA937" s="36">
        <v>8</v>
      </c>
      <c r="AB937" s="1"/>
      <c r="AC937" s="1"/>
      <c r="AD937" s="26">
        <v>4</v>
      </c>
      <c r="AE937" s="18"/>
      <c r="AF937" s="31">
        <v>7</v>
      </c>
      <c r="AG937" s="13">
        <v>383</v>
      </c>
      <c r="AH937" s="18"/>
      <c r="AI937" s="50">
        <v>30</v>
      </c>
      <c r="AJ937" s="13">
        <v>10</v>
      </c>
      <c r="AK937" s="1"/>
      <c r="AL937" s="1"/>
      <c r="AM937" s="11"/>
    </row>
    <row r="938" spans="1:39" customFormat="1" x14ac:dyDescent="0.25">
      <c r="A938" s="4">
        <v>44788</v>
      </c>
      <c r="B938" s="18">
        <v>4</v>
      </c>
      <c r="C938" s="1">
        <v>4</v>
      </c>
      <c r="D938" s="1"/>
      <c r="E938" s="18">
        <v>3</v>
      </c>
      <c r="F938" s="36">
        <v>1</v>
      </c>
      <c r="G938" s="1"/>
      <c r="H938" s="1">
        <v>1</v>
      </c>
      <c r="I938" s="12">
        <v>12</v>
      </c>
      <c r="J938" s="32">
        <v>14</v>
      </c>
      <c r="K938" s="15">
        <v>1</v>
      </c>
      <c r="L938" s="1">
        <v>2</v>
      </c>
      <c r="M938" s="18"/>
      <c r="N938" s="14">
        <v>1</v>
      </c>
      <c r="O938" s="1"/>
      <c r="P938" s="10">
        <v>3</v>
      </c>
      <c r="Q938" s="1"/>
      <c r="R938" s="1"/>
      <c r="S938" s="18"/>
      <c r="T938" s="14">
        <v>1</v>
      </c>
      <c r="U938" s="25">
        <v>30</v>
      </c>
      <c r="V938" s="1"/>
      <c r="W938" s="1"/>
      <c r="X938" s="1"/>
      <c r="Y938" s="18"/>
      <c r="Z938" s="29">
        <v>1</v>
      </c>
      <c r="AA938" s="36">
        <v>10</v>
      </c>
      <c r="AB938" s="1">
        <v>4</v>
      </c>
      <c r="AC938" s="1"/>
      <c r="AD938" s="26">
        <v>3</v>
      </c>
      <c r="AE938" s="18"/>
      <c r="AF938" s="31">
        <v>13</v>
      </c>
      <c r="AG938" s="13">
        <f>249+57</f>
        <v>306</v>
      </c>
      <c r="AH938" s="18">
        <v>3</v>
      </c>
      <c r="AI938" s="50">
        <v>42</v>
      </c>
      <c r="AJ938" s="13">
        <v>11</v>
      </c>
      <c r="AK938" s="1"/>
      <c r="AL938" s="1"/>
      <c r="AM938" s="11"/>
    </row>
    <row r="939" spans="1:39" customFormat="1" x14ac:dyDescent="0.25">
      <c r="A939" s="4">
        <v>44789</v>
      </c>
      <c r="B939" s="18">
        <v>11</v>
      </c>
      <c r="C939" s="1">
        <v>2</v>
      </c>
      <c r="D939" s="1"/>
      <c r="E939" s="18">
        <v>4</v>
      </c>
      <c r="F939" s="36">
        <v>3</v>
      </c>
      <c r="G939" s="1"/>
      <c r="H939" s="1"/>
      <c r="I939" s="12">
        <v>8</v>
      </c>
      <c r="J939" s="32">
        <v>8</v>
      </c>
      <c r="K939" s="18">
        <v>2</v>
      </c>
      <c r="L939" s="1">
        <v>1</v>
      </c>
      <c r="M939" s="18"/>
      <c r="N939" s="14">
        <v>1</v>
      </c>
      <c r="O939" s="1"/>
      <c r="P939" s="10">
        <v>2</v>
      </c>
      <c r="Q939" s="1"/>
      <c r="R939" s="1"/>
      <c r="S939" s="18"/>
      <c r="T939" s="14">
        <v>0</v>
      </c>
      <c r="U939" s="25">
        <v>18</v>
      </c>
      <c r="V939" s="1"/>
      <c r="W939" s="1"/>
      <c r="X939" s="1"/>
      <c r="Y939" s="18"/>
      <c r="Z939" s="29">
        <v>2</v>
      </c>
      <c r="AA939" s="36">
        <v>15</v>
      </c>
      <c r="AB939" s="1">
        <v>3</v>
      </c>
      <c r="AC939" s="1"/>
      <c r="AD939" s="26">
        <v>16</v>
      </c>
      <c r="AE939" s="18"/>
      <c r="AF939" s="31">
        <v>6</v>
      </c>
      <c r="AG939" s="13">
        <f>307+56</f>
        <v>363</v>
      </c>
      <c r="AH939" s="18">
        <v>5</v>
      </c>
      <c r="AI939" s="50">
        <v>36</v>
      </c>
      <c r="AJ939" s="13">
        <v>6</v>
      </c>
      <c r="AK939" s="1"/>
      <c r="AL939" s="1"/>
      <c r="AM939" s="11"/>
    </row>
    <row r="940" spans="1:39" customFormat="1" x14ac:dyDescent="0.25">
      <c r="A940" s="4">
        <v>44790</v>
      </c>
      <c r="B940" s="18">
        <v>1</v>
      </c>
      <c r="C940" s="1">
        <v>4</v>
      </c>
      <c r="D940" s="1"/>
      <c r="E940" s="18">
        <v>4</v>
      </c>
      <c r="F940" s="36">
        <v>4</v>
      </c>
      <c r="G940" s="1"/>
      <c r="H940" s="1"/>
      <c r="I940" s="12">
        <v>10</v>
      </c>
      <c r="J940" s="32">
        <v>5</v>
      </c>
      <c r="K940" s="18">
        <v>5</v>
      </c>
      <c r="L940" s="1">
        <v>2</v>
      </c>
      <c r="M940" s="18"/>
      <c r="N940" s="14">
        <v>3</v>
      </c>
      <c r="O940" s="1"/>
      <c r="P940" s="10">
        <v>11</v>
      </c>
      <c r="Q940" s="1"/>
      <c r="R940" s="1">
        <v>1</v>
      </c>
      <c r="S940" s="18"/>
      <c r="T940" s="14">
        <v>6</v>
      </c>
      <c r="U940" s="25">
        <v>13</v>
      </c>
      <c r="V940" s="1"/>
      <c r="W940" s="1"/>
      <c r="X940" s="1">
        <v>3</v>
      </c>
      <c r="Y940" s="18"/>
      <c r="Z940" s="29">
        <v>6</v>
      </c>
      <c r="AA940" s="36">
        <v>59</v>
      </c>
      <c r="AB940" s="1">
        <v>3</v>
      </c>
      <c r="AC940" s="1"/>
      <c r="AD940" s="26">
        <v>64</v>
      </c>
      <c r="AE940" s="18"/>
      <c r="AF940" s="31">
        <v>4</v>
      </c>
      <c r="AG940" s="13">
        <f>228+36</f>
        <v>264</v>
      </c>
      <c r="AH940" s="18">
        <v>4</v>
      </c>
      <c r="AI940" s="50">
        <v>21</v>
      </c>
      <c r="AJ940" s="13">
        <v>0</v>
      </c>
      <c r="AK940" s="1"/>
      <c r="AL940" s="1"/>
      <c r="AM940" s="11"/>
    </row>
    <row r="941" spans="1:39" customFormat="1" x14ac:dyDescent="0.25">
      <c r="A941" s="4">
        <v>44791</v>
      </c>
      <c r="B941" s="18">
        <v>5</v>
      </c>
      <c r="C941" s="1"/>
      <c r="D941" s="1"/>
      <c r="E941" s="18">
        <v>3</v>
      </c>
      <c r="F941" s="36">
        <v>11</v>
      </c>
      <c r="G941" s="1"/>
      <c r="H941" s="1"/>
      <c r="I941" s="12">
        <v>16</v>
      </c>
      <c r="J941" s="33">
        <v>5</v>
      </c>
      <c r="K941" s="18">
        <v>6</v>
      </c>
      <c r="L941" s="1">
        <v>1</v>
      </c>
      <c r="M941" s="18"/>
      <c r="N941" s="14">
        <v>6</v>
      </c>
      <c r="O941" s="1"/>
      <c r="P941" s="10">
        <v>9</v>
      </c>
      <c r="Q941" s="1"/>
      <c r="R941" s="1"/>
      <c r="S941" s="18"/>
      <c r="T941" s="14">
        <v>11</v>
      </c>
      <c r="U941" s="25">
        <v>13</v>
      </c>
      <c r="V941" s="1"/>
      <c r="W941" s="1"/>
      <c r="X941" s="1"/>
      <c r="Y941" s="18"/>
      <c r="Z941" s="29">
        <v>4</v>
      </c>
      <c r="AA941" s="36">
        <v>35</v>
      </c>
      <c r="AB941" s="1">
        <v>3</v>
      </c>
      <c r="AC941" s="26">
        <v>6</v>
      </c>
      <c r="AD941" s="26">
        <v>71</v>
      </c>
      <c r="AE941" s="18"/>
      <c r="AF941" s="31">
        <v>8</v>
      </c>
      <c r="AG941" s="13">
        <f>225+29</f>
        <v>254</v>
      </c>
      <c r="AH941" s="18">
        <v>1</v>
      </c>
      <c r="AI941" s="50">
        <v>9</v>
      </c>
      <c r="AJ941" s="13">
        <v>14</v>
      </c>
      <c r="AK941" s="1"/>
      <c r="AL941" s="1"/>
      <c r="AM941" s="11"/>
    </row>
    <row r="942" spans="1:39" customFormat="1" x14ac:dyDescent="0.25">
      <c r="A942" s="4">
        <v>44792</v>
      </c>
      <c r="B942" s="18">
        <v>1</v>
      </c>
      <c r="C942" s="1">
        <v>4</v>
      </c>
      <c r="D942" s="1"/>
      <c r="E942" s="18">
        <v>3</v>
      </c>
      <c r="F942" s="36">
        <v>18</v>
      </c>
      <c r="G942" s="1"/>
      <c r="H942" s="1"/>
      <c r="I942" s="12">
        <v>9</v>
      </c>
      <c r="J942" s="33">
        <v>12</v>
      </c>
      <c r="K942" s="18">
        <v>3</v>
      </c>
      <c r="L942" s="1"/>
      <c r="M942" s="18"/>
      <c r="N942" s="14">
        <v>5</v>
      </c>
      <c r="O942" s="1"/>
      <c r="P942" s="10">
        <v>5</v>
      </c>
      <c r="Q942" s="10">
        <v>5</v>
      </c>
      <c r="R942" s="1">
        <v>1</v>
      </c>
      <c r="S942" s="18"/>
      <c r="T942" s="14">
        <v>5</v>
      </c>
      <c r="U942" s="25">
        <v>8</v>
      </c>
      <c r="V942" s="1"/>
      <c r="W942" s="50">
        <v>5</v>
      </c>
      <c r="X942" s="1">
        <v>1</v>
      </c>
      <c r="Y942" s="18"/>
      <c r="Z942" s="29">
        <v>1</v>
      </c>
      <c r="AA942" s="36">
        <v>40</v>
      </c>
      <c r="AB942" s="1">
        <v>1</v>
      </c>
      <c r="AC942" s="26">
        <v>1</v>
      </c>
      <c r="AD942" s="26">
        <f>33+24</f>
        <v>57</v>
      </c>
      <c r="AE942" s="18"/>
      <c r="AF942" s="31">
        <v>12</v>
      </c>
      <c r="AG942" s="13">
        <f>188+16</f>
        <v>204</v>
      </c>
      <c r="AH942" s="18">
        <v>5</v>
      </c>
      <c r="AI942" s="50">
        <v>9</v>
      </c>
      <c r="AJ942" s="13">
        <v>15</v>
      </c>
      <c r="AK942" s="1"/>
      <c r="AL942" s="1"/>
      <c r="AM942" s="11"/>
    </row>
    <row r="943" spans="1:39" customFormat="1" x14ac:dyDescent="0.25">
      <c r="A943" s="4">
        <v>44793</v>
      </c>
      <c r="B943" s="18">
        <v>1</v>
      </c>
      <c r="C943" s="1"/>
      <c r="D943" s="1"/>
      <c r="E943" s="18">
        <v>2</v>
      </c>
      <c r="F943" s="36">
        <v>12</v>
      </c>
      <c r="G943" s="1"/>
      <c r="H943" s="1"/>
      <c r="I943" s="12">
        <v>3</v>
      </c>
      <c r="J943" s="33">
        <v>15</v>
      </c>
      <c r="K943" s="18">
        <v>4</v>
      </c>
      <c r="L943" s="1">
        <v>1</v>
      </c>
      <c r="M943" s="18"/>
      <c r="N943" s="14">
        <v>16</v>
      </c>
      <c r="O943" s="1"/>
      <c r="P943" s="10">
        <v>12</v>
      </c>
      <c r="Q943" s="10">
        <v>8</v>
      </c>
      <c r="R943" s="1">
        <v>3</v>
      </c>
      <c r="S943" s="18"/>
      <c r="T943" s="14">
        <v>4</v>
      </c>
      <c r="U943" s="25">
        <v>8</v>
      </c>
      <c r="V943" s="1"/>
      <c r="W943" s="50">
        <v>12</v>
      </c>
      <c r="X943" s="1">
        <v>1</v>
      </c>
      <c r="Y943" s="18"/>
      <c r="Z943" s="29">
        <v>7</v>
      </c>
      <c r="AA943" s="36">
        <v>82</v>
      </c>
      <c r="AB943" s="1"/>
      <c r="AC943" s="26">
        <v>5</v>
      </c>
      <c r="AD943" s="26">
        <f>21+45</f>
        <v>66</v>
      </c>
      <c r="AE943" s="18"/>
      <c r="AF943" s="31">
        <v>13</v>
      </c>
      <c r="AG943" s="13">
        <f>201+9</f>
        <v>210</v>
      </c>
      <c r="AH943" s="18">
        <v>4</v>
      </c>
      <c r="AI943" s="50">
        <v>2</v>
      </c>
      <c r="AJ943" s="13">
        <v>16</v>
      </c>
      <c r="AK943" s="1"/>
      <c r="AL943" s="1"/>
      <c r="AM943" s="11"/>
    </row>
    <row r="944" spans="1:39" customFormat="1" x14ac:dyDescent="0.25">
      <c r="A944" s="4">
        <v>44794</v>
      </c>
      <c r="B944" s="1"/>
      <c r="C944" s="1"/>
      <c r="D944" s="1"/>
      <c r="E944" s="18">
        <v>4</v>
      </c>
      <c r="F944" s="36">
        <v>21</v>
      </c>
      <c r="G944" s="1"/>
      <c r="H944" s="1">
        <v>5</v>
      </c>
      <c r="I944" s="12">
        <v>8</v>
      </c>
      <c r="J944" s="33">
        <v>20</v>
      </c>
      <c r="K944" s="18">
        <v>4</v>
      </c>
      <c r="L944" s="1">
        <v>2</v>
      </c>
      <c r="M944" s="18"/>
      <c r="N944" s="14">
        <v>11</v>
      </c>
      <c r="O944" s="1"/>
      <c r="P944" s="10">
        <v>18</v>
      </c>
      <c r="Q944" s="10">
        <v>6</v>
      </c>
      <c r="R944" s="1">
        <v>1</v>
      </c>
      <c r="S944" s="18"/>
      <c r="T944" s="14">
        <v>6</v>
      </c>
      <c r="U944" s="32">
        <v>8</v>
      </c>
      <c r="V944" s="1"/>
      <c r="W944" s="50">
        <v>4</v>
      </c>
      <c r="X944" s="1"/>
      <c r="Y944" s="18"/>
      <c r="Z944" s="29">
        <v>4</v>
      </c>
      <c r="AA944" s="36">
        <v>64</v>
      </c>
      <c r="AB944" s="1"/>
      <c r="AC944" s="26">
        <v>2</v>
      </c>
      <c r="AD944" s="26">
        <f>16+73</f>
        <v>89</v>
      </c>
      <c r="AE944" s="18"/>
      <c r="AF944" s="31">
        <v>8</v>
      </c>
      <c r="AG944" s="13">
        <f>192+7</f>
        <v>199</v>
      </c>
      <c r="AH944" s="18">
        <v>5</v>
      </c>
      <c r="AI944" s="50">
        <v>4</v>
      </c>
      <c r="AJ944" s="13">
        <v>11</v>
      </c>
      <c r="AK944" s="1"/>
      <c r="AL944" s="1"/>
      <c r="AM944" s="11"/>
    </row>
    <row r="945" spans="1:39" customFormat="1" x14ac:dyDescent="0.25">
      <c r="A945" s="4">
        <v>44795</v>
      </c>
      <c r="B945" s="1"/>
      <c r="C945" s="1"/>
      <c r="D945" s="1"/>
      <c r="E945" s="18">
        <v>4</v>
      </c>
      <c r="F945" s="36">
        <v>31</v>
      </c>
      <c r="G945" s="1"/>
      <c r="H945" s="1">
        <v>8</v>
      </c>
      <c r="I945" s="12">
        <v>4</v>
      </c>
      <c r="J945" s="33">
        <v>6</v>
      </c>
      <c r="K945" s="18">
        <v>5</v>
      </c>
      <c r="L945" s="1">
        <v>1</v>
      </c>
      <c r="M945" s="18"/>
      <c r="N945" s="14">
        <v>23</v>
      </c>
      <c r="O945" s="1"/>
      <c r="P945" s="10">
        <v>14</v>
      </c>
      <c r="Q945" s="10">
        <v>5</v>
      </c>
      <c r="R945" s="1">
        <v>2</v>
      </c>
      <c r="S945" s="18"/>
      <c r="T945" s="14">
        <v>0</v>
      </c>
      <c r="U945" s="32">
        <v>8</v>
      </c>
      <c r="V945" s="1">
        <v>1</v>
      </c>
      <c r="W945" s="50">
        <v>2</v>
      </c>
      <c r="X945" s="1"/>
      <c r="Y945" s="18"/>
      <c r="Z945" s="29">
        <v>2</v>
      </c>
      <c r="AA945" s="36">
        <v>53</v>
      </c>
      <c r="AB945" s="1"/>
      <c r="AC945" s="26">
        <v>3</v>
      </c>
      <c r="AD945" s="26">
        <v>88</v>
      </c>
      <c r="AE945" s="18"/>
      <c r="AF945" s="31">
        <v>10</v>
      </c>
      <c r="AG945" s="13">
        <f>175+5</f>
        <v>180</v>
      </c>
      <c r="AH945" s="18">
        <v>2</v>
      </c>
      <c r="AI945" s="50">
        <v>2</v>
      </c>
      <c r="AJ945" s="13">
        <v>11</v>
      </c>
      <c r="AK945" s="1"/>
      <c r="AL945" s="1"/>
      <c r="AM945" s="11"/>
    </row>
    <row r="946" spans="1:39" customFormat="1" x14ac:dyDescent="0.25">
      <c r="A946" s="4">
        <v>44796</v>
      </c>
      <c r="B946" s="1"/>
      <c r="C946" s="1"/>
      <c r="D946" s="1"/>
      <c r="E946" s="18">
        <v>0</v>
      </c>
      <c r="F946" s="36">
        <v>40</v>
      </c>
      <c r="G946" s="1"/>
      <c r="H946" s="1">
        <v>7</v>
      </c>
      <c r="I946" s="12">
        <v>1</v>
      </c>
      <c r="J946" s="33">
        <v>12</v>
      </c>
      <c r="K946" s="18">
        <v>6</v>
      </c>
      <c r="L946" s="1">
        <v>2</v>
      </c>
      <c r="M946" s="18"/>
      <c r="N946" s="14">
        <v>6</v>
      </c>
      <c r="O946" s="1"/>
      <c r="P946" s="10">
        <v>19</v>
      </c>
      <c r="Q946" s="10">
        <v>6</v>
      </c>
      <c r="R946" s="1">
        <v>1</v>
      </c>
      <c r="S946" s="18"/>
      <c r="T946" s="14">
        <v>10</v>
      </c>
      <c r="U946" s="32">
        <v>28</v>
      </c>
      <c r="V946" s="1"/>
      <c r="W946" s="50">
        <v>11</v>
      </c>
      <c r="X946" s="1"/>
      <c r="Y946" s="18"/>
      <c r="Z946" s="29">
        <v>1</v>
      </c>
      <c r="AA946" s="36">
        <v>43</v>
      </c>
      <c r="AB946" s="1"/>
      <c r="AC946" s="26">
        <v>2</v>
      </c>
      <c r="AD946" s="26">
        <v>38</v>
      </c>
      <c r="AE946" s="18"/>
      <c r="AF946" s="31">
        <v>35</v>
      </c>
      <c r="AG946" s="13">
        <v>174</v>
      </c>
      <c r="AH946" s="18">
        <v>3</v>
      </c>
      <c r="AI946" s="50">
        <v>1</v>
      </c>
      <c r="AJ946" s="13">
        <v>11</v>
      </c>
      <c r="AK946" s="1"/>
      <c r="AL946" s="1"/>
      <c r="AM946" s="11"/>
    </row>
    <row r="947" spans="1:39" customFormat="1" x14ac:dyDescent="0.25">
      <c r="A947" s="4">
        <v>44797</v>
      </c>
      <c r="B947" s="59">
        <v>1</v>
      </c>
      <c r="C947" s="1"/>
      <c r="D947" s="44">
        <v>2</v>
      </c>
      <c r="E947" s="18">
        <v>6</v>
      </c>
      <c r="F947" s="36">
        <f>27+16</f>
        <v>43</v>
      </c>
      <c r="G947" s="1"/>
      <c r="H947" s="1"/>
      <c r="I947" s="12">
        <v>1</v>
      </c>
      <c r="J947" s="33">
        <v>6</v>
      </c>
      <c r="K947" s="18">
        <v>8</v>
      </c>
      <c r="L947" s="1">
        <v>1</v>
      </c>
      <c r="M947" s="18"/>
      <c r="N947" s="14">
        <v>2</v>
      </c>
      <c r="O947" s="1"/>
      <c r="P947" s="10">
        <v>25</v>
      </c>
      <c r="Q947" s="10">
        <v>1</v>
      </c>
      <c r="R947" s="1">
        <v>4</v>
      </c>
      <c r="S947" s="18"/>
      <c r="T947" s="14">
        <v>2</v>
      </c>
      <c r="U947" s="32">
        <v>26</v>
      </c>
      <c r="V947" s="1"/>
      <c r="W947" s="50">
        <v>9</v>
      </c>
      <c r="X947" s="1"/>
      <c r="Y947" s="18"/>
      <c r="Z947" s="1"/>
      <c r="AA947" s="36">
        <v>116</v>
      </c>
      <c r="AB947" s="13">
        <v>1</v>
      </c>
      <c r="AC947" s="26">
        <v>4</v>
      </c>
      <c r="AD947" s="26">
        <f>14+51</f>
        <v>65</v>
      </c>
      <c r="AE947" s="18"/>
      <c r="AF947" s="31">
        <v>35</v>
      </c>
      <c r="AG947" s="13">
        <f>12+154</f>
        <v>166</v>
      </c>
      <c r="AH947" s="18">
        <v>3</v>
      </c>
      <c r="AI947" s="50">
        <v>2</v>
      </c>
      <c r="AJ947" s="13">
        <v>13</v>
      </c>
      <c r="AK947" s="1"/>
      <c r="AL947" s="1"/>
      <c r="AM947" s="11"/>
    </row>
    <row r="948" spans="1:39" customFormat="1" x14ac:dyDescent="0.25">
      <c r="A948" s="4">
        <v>44798</v>
      </c>
      <c r="B948" s="59">
        <v>5</v>
      </c>
      <c r="C948" s="1"/>
      <c r="D948" s="44">
        <v>1</v>
      </c>
      <c r="E948" s="18">
        <v>2</v>
      </c>
      <c r="F948" s="36">
        <v>18</v>
      </c>
      <c r="G948" s="1"/>
      <c r="H948" s="1"/>
      <c r="I948" s="12">
        <v>3</v>
      </c>
      <c r="J948" s="33">
        <v>8</v>
      </c>
      <c r="K948" s="18">
        <v>13</v>
      </c>
      <c r="L948" s="1"/>
      <c r="M948" s="18"/>
      <c r="N948" s="5">
        <v>8</v>
      </c>
      <c r="O948" s="1"/>
      <c r="P948" s="10">
        <v>68</v>
      </c>
      <c r="Q948" s="10">
        <v>5</v>
      </c>
      <c r="R948" s="1">
        <v>1</v>
      </c>
      <c r="S948" s="18"/>
      <c r="T948" s="14">
        <v>12</v>
      </c>
      <c r="U948" s="32">
        <v>21</v>
      </c>
      <c r="V948" s="1"/>
      <c r="W948" s="50">
        <v>11</v>
      </c>
      <c r="X948" s="1">
        <v>1</v>
      </c>
      <c r="Y948" s="18"/>
      <c r="Z948" s="26">
        <v>1</v>
      </c>
      <c r="AA948" s="36">
        <v>105</v>
      </c>
      <c r="AB948" s="13">
        <v>6</v>
      </c>
      <c r="AC948" s="26">
        <v>1</v>
      </c>
      <c r="AD948" s="26">
        <v>55</v>
      </c>
      <c r="AE948" s="18"/>
      <c r="AF948" s="31">
        <v>56</v>
      </c>
      <c r="AG948" s="13">
        <v>133</v>
      </c>
      <c r="AH948" s="18">
        <v>1</v>
      </c>
      <c r="AI948" s="50">
        <v>2</v>
      </c>
      <c r="AJ948" s="13">
        <v>13</v>
      </c>
      <c r="AK948" s="1"/>
      <c r="AL948" s="1"/>
      <c r="AM948" s="11"/>
    </row>
    <row r="949" spans="1:39" customFormat="1" x14ac:dyDescent="0.25">
      <c r="A949" s="4">
        <v>44799</v>
      </c>
      <c r="B949" s="59">
        <v>4</v>
      </c>
      <c r="C949" s="1">
        <v>3</v>
      </c>
      <c r="D949" s="44">
        <v>2</v>
      </c>
      <c r="E949" s="18">
        <v>8</v>
      </c>
      <c r="F949" s="36">
        <v>32</v>
      </c>
      <c r="G949" s="1"/>
      <c r="H949" s="1">
        <v>1</v>
      </c>
      <c r="I949" s="12">
        <v>17</v>
      </c>
      <c r="J949" s="33">
        <v>8</v>
      </c>
      <c r="K949" s="18">
        <v>8</v>
      </c>
      <c r="L949" s="1"/>
      <c r="M949" s="18"/>
      <c r="N949" s="5">
        <v>41</v>
      </c>
      <c r="O949" s="1"/>
      <c r="P949" s="10">
        <v>46</v>
      </c>
      <c r="Q949" s="10">
        <v>13</v>
      </c>
      <c r="R949" s="1">
        <v>4</v>
      </c>
      <c r="S949" s="18"/>
      <c r="T949" s="14">
        <v>15</v>
      </c>
      <c r="U949" s="32">
        <v>24</v>
      </c>
      <c r="V949" s="1"/>
      <c r="W949" s="50">
        <v>9</v>
      </c>
      <c r="X949" s="1">
        <v>1</v>
      </c>
      <c r="Y949" s="18"/>
      <c r="Z949" s="26">
        <v>7</v>
      </c>
      <c r="AA949" s="36">
        <v>67</v>
      </c>
      <c r="AB949" s="13">
        <v>4</v>
      </c>
      <c r="AC949" s="26">
        <v>15</v>
      </c>
      <c r="AD949" s="26">
        <v>27</v>
      </c>
      <c r="AE949" s="18"/>
      <c r="AF949" s="31">
        <v>93</v>
      </c>
      <c r="AG949" s="13">
        <v>88</v>
      </c>
      <c r="AH949" s="18">
        <v>1</v>
      </c>
      <c r="AI949" s="50">
        <v>6</v>
      </c>
      <c r="AJ949" s="13">
        <v>16</v>
      </c>
      <c r="AK949" s="1"/>
      <c r="AL949" s="1"/>
      <c r="AM949" s="11"/>
    </row>
    <row r="950" spans="1:39" customFormat="1" x14ac:dyDescent="0.25">
      <c r="A950" s="4">
        <v>44800</v>
      </c>
      <c r="B950" s="59">
        <v>2</v>
      </c>
      <c r="C950" s="1">
        <v>3</v>
      </c>
      <c r="D950" s="44">
        <v>7</v>
      </c>
      <c r="E950" s="18">
        <v>8</v>
      </c>
      <c r="F950" s="36">
        <v>16</v>
      </c>
      <c r="G950" s="1"/>
      <c r="H950" s="1"/>
      <c r="I950" s="12">
        <v>5</v>
      </c>
      <c r="J950" s="33">
        <v>16</v>
      </c>
      <c r="K950" s="18">
        <v>8</v>
      </c>
      <c r="L950" s="1"/>
      <c r="M950" s="18"/>
      <c r="N950" s="5">
        <v>21</v>
      </c>
      <c r="O950" s="1"/>
      <c r="P950" s="10">
        <v>54</v>
      </c>
      <c r="Q950" s="10">
        <v>8</v>
      </c>
      <c r="R950" s="1"/>
      <c r="S950" s="18"/>
      <c r="T950" s="14">
        <v>29</v>
      </c>
      <c r="U950" s="32">
        <v>24</v>
      </c>
      <c r="V950" s="1"/>
      <c r="W950" s="50">
        <v>10</v>
      </c>
      <c r="X950" s="1"/>
      <c r="Y950" s="18"/>
      <c r="Z950" s="26">
        <v>7</v>
      </c>
      <c r="AA950" s="36">
        <v>76</v>
      </c>
      <c r="AB950" s="13">
        <v>2</v>
      </c>
      <c r="AC950" s="26">
        <v>8</v>
      </c>
      <c r="AD950" s="26">
        <v>57</v>
      </c>
      <c r="AE950" s="18"/>
      <c r="AF950" s="31">
        <v>139</v>
      </c>
      <c r="AG950" s="13">
        <v>60</v>
      </c>
      <c r="AH950" s="1"/>
      <c r="AI950" s="50">
        <v>1</v>
      </c>
      <c r="AJ950" s="13">
        <v>12</v>
      </c>
      <c r="AK950" s="1"/>
      <c r="AL950" s="1"/>
      <c r="AM950" s="11"/>
    </row>
    <row r="951" spans="1:39" customFormat="1" x14ac:dyDescent="0.25">
      <c r="A951" s="4">
        <v>44801</v>
      </c>
      <c r="B951" s="59">
        <v>6</v>
      </c>
      <c r="C951" s="1">
        <v>1</v>
      </c>
      <c r="D951" s="44">
        <v>31</v>
      </c>
      <c r="E951" s="18">
        <v>0</v>
      </c>
      <c r="F951" s="36">
        <v>27</v>
      </c>
      <c r="G951" s="1"/>
      <c r="H951" s="1">
        <v>1</v>
      </c>
      <c r="I951" s="12">
        <v>1</v>
      </c>
      <c r="J951" s="33">
        <v>12</v>
      </c>
      <c r="K951" s="18">
        <v>8</v>
      </c>
      <c r="L951" s="1"/>
      <c r="M951" s="18"/>
      <c r="N951" s="5">
        <v>30</v>
      </c>
      <c r="O951" s="1"/>
      <c r="P951" s="10">
        <v>98</v>
      </c>
      <c r="Q951" s="10">
        <v>44</v>
      </c>
      <c r="R951" s="1">
        <v>5</v>
      </c>
      <c r="S951" s="18"/>
      <c r="T951" s="14">
        <v>45</v>
      </c>
      <c r="U951" s="32">
        <v>32</v>
      </c>
      <c r="V951" s="1"/>
      <c r="W951" s="50">
        <v>28</v>
      </c>
      <c r="X951" s="1"/>
      <c r="Y951" s="18"/>
      <c r="Z951" s="26">
        <v>3</v>
      </c>
      <c r="AA951" s="36">
        <v>79</v>
      </c>
      <c r="AB951" s="13">
        <v>10</v>
      </c>
      <c r="AC951" s="26">
        <v>7</v>
      </c>
      <c r="AD951" s="26">
        <v>25</v>
      </c>
      <c r="AE951" s="18"/>
      <c r="AF951" s="31">
        <v>235</v>
      </c>
      <c r="AG951" s="13">
        <v>52</v>
      </c>
      <c r="AH951" s="1">
        <v>2</v>
      </c>
      <c r="AI951" s="1"/>
      <c r="AJ951" s="13">
        <v>27</v>
      </c>
      <c r="AK951" s="1"/>
      <c r="AL951" s="1"/>
      <c r="AM951" s="11"/>
    </row>
    <row r="952" spans="1:39" customFormat="1" x14ac:dyDescent="0.25">
      <c r="A952" s="4">
        <v>44802</v>
      </c>
      <c r="B952" s="59">
        <v>3</v>
      </c>
      <c r="C952" s="1"/>
      <c r="D952" s="44">
        <v>51</v>
      </c>
      <c r="E952" s="18">
        <v>0</v>
      </c>
      <c r="F952" s="36">
        <v>23</v>
      </c>
      <c r="G952" s="1"/>
      <c r="H952" s="1">
        <v>1</v>
      </c>
      <c r="I952" s="1"/>
      <c r="J952" s="33">
        <v>36</v>
      </c>
      <c r="K952" s="18">
        <v>14</v>
      </c>
      <c r="L952" s="1"/>
      <c r="M952" s="18"/>
      <c r="N952" s="5">
        <v>37</v>
      </c>
      <c r="O952" s="1"/>
      <c r="P952" s="10">
        <v>29</v>
      </c>
      <c r="Q952" s="10">
        <v>74</v>
      </c>
      <c r="R952" s="1">
        <v>3</v>
      </c>
      <c r="S952" s="18"/>
      <c r="T952" s="14">
        <v>35</v>
      </c>
      <c r="U952" s="32">
        <v>35</v>
      </c>
      <c r="V952" s="1"/>
      <c r="W952" s="50">
        <v>51</v>
      </c>
      <c r="X952" s="1"/>
      <c r="Y952" s="18"/>
      <c r="Z952" s="26">
        <v>26</v>
      </c>
      <c r="AA952" s="36">
        <v>104</v>
      </c>
      <c r="AB952" s="13">
        <v>16</v>
      </c>
      <c r="AC952" s="26">
        <v>4</v>
      </c>
      <c r="AD952" s="26">
        <v>22</v>
      </c>
      <c r="AE952" s="18"/>
      <c r="AF952" s="31">
        <v>261</v>
      </c>
      <c r="AG952" s="13">
        <v>41</v>
      </c>
      <c r="AH952" s="1"/>
      <c r="AI952" s="1"/>
      <c r="AJ952" s="13">
        <v>32</v>
      </c>
      <c r="AK952" s="1"/>
      <c r="AL952" s="1"/>
      <c r="AM952" s="11"/>
    </row>
    <row r="953" spans="1:39" customFormat="1" x14ac:dyDescent="0.25">
      <c r="A953" s="4">
        <v>44803</v>
      </c>
      <c r="B953" s="59">
        <v>3</v>
      </c>
      <c r="C953" s="1">
        <v>1</v>
      </c>
      <c r="D953" s="44">
        <v>57</v>
      </c>
      <c r="E953" s="18">
        <v>2</v>
      </c>
      <c r="F953" s="36">
        <v>12</v>
      </c>
      <c r="G953" s="1"/>
      <c r="H953" s="1">
        <v>1</v>
      </c>
      <c r="I953" s="1"/>
      <c r="J953" s="33">
        <v>46</v>
      </c>
      <c r="K953" s="22">
        <v>7</v>
      </c>
      <c r="L953" s="1"/>
      <c r="M953" s="18"/>
      <c r="N953" s="5">
        <v>42</v>
      </c>
      <c r="O953" s="1"/>
      <c r="P953" s="10">
        <v>28</v>
      </c>
      <c r="Q953" s="10">
        <v>82</v>
      </c>
      <c r="R953" s="1">
        <v>1</v>
      </c>
      <c r="S953" s="18"/>
      <c r="T953" s="14">
        <v>38</v>
      </c>
      <c r="U953" s="32">
        <v>27</v>
      </c>
      <c r="V953" s="1"/>
      <c r="W953" s="50">
        <v>75</v>
      </c>
      <c r="X953" s="1"/>
      <c r="Y953" s="18"/>
      <c r="Z953" s="26">
        <v>11</v>
      </c>
      <c r="AA953" s="36">
        <v>88</v>
      </c>
      <c r="AB953" s="13">
        <v>4</v>
      </c>
      <c r="AC953" s="26">
        <v>3</v>
      </c>
      <c r="AD953" s="26">
        <v>18</v>
      </c>
      <c r="AE953" s="18"/>
      <c r="AF953" s="31">
        <v>250</v>
      </c>
      <c r="AG953" s="13">
        <v>34</v>
      </c>
      <c r="AH953" s="1"/>
      <c r="AI953" s="1"/>
      <c r="AJ953" s="13">
        <v>28</v>
      </c>
      <c r="AK953" s="1"/>
      <c r="AL953" s="1"/>
      <c r="AM953" s="11"/>
    </row>
    <row r="954" spans="1:39" customFormat="1" x14ac:dyDescent="0.25">
      <c r="A954" s="4">
        <v>44804</v>
      </c>
      <c r="B954" s="59">
        <v>5</v>
      </c>
      <c r="C954" s="1">
        <v>3</v>
      </c>
      <c r="D954" s="44">
        <v>34</v>
      </c>
      <c r="E954" s="18">
        <v>0</v>
      </c>
      <c r="F954" s="36">
        <v>15</v>
      </c>
      <c r="G954" s="1"/>
      <c r="H954" s="1"/>
      <c r="I954" s="1"/>
      <c r="J954" s="33">
        <v>74</v>
      </c>
      <c r="K954" s="22">
        <v>9</v>
      </c>
      <c r="L954" s="1"/>
      <c r="M954" s="18"/>
      <c r="N954" s="5">
        <v>57</v>
      </c>
      <c r="O954" s="1"/>
      <c r="P954" s="10">
        <v>60</v>
      </c>
      <c r="Q954" s="10">
        <v>138</v>
      </c>
      <c r="R954" s="1"/>
      <c r="S954" s="18"/>
      <c r="T954" s="14">
        <v>45</v>
      </c>
      <c r="U954" s="32">
        <v>19</v>
      </c>
      <c r="V954" s="1"/>
      <c r="W954" s="50">
        <v>116</v>
      </c>
      <c r="X954" s="1"/>
      <c r="Y954" s="18"/>
      <c r="Z954" s="26">
        <v>8</v>
      </c>
      <c r="AA954" s="36">
        <v>215</v>
      </c>
      <c r="AB954" s="13">
        <v>23</v>
      </c>
      <c r="AC954" s="1"/>
      <c r="AD954" s="26">
        <v>19</v>
      </c>
      <c r="AE954" s="18"/>
      <c r="AF954" s="31">
        <v>215</v>
      </c>
      <c r="AG954" s="13">
        <v>33</v>
      </c>
      <c r="AH954" s="1"/>
      <c r="AI954" s="1">
        <v>1</v>
      </c>
      <c r="AJ954" s="13">
        <v>32</v>
      </c>
      <c r="AK954" s="1"/>
      <c r="AL954" s="1"/>
      <c r="AM954" s="11"/>
    </row>
    <row r="955" spans="1:39" customFormat="1" x14ac:dyDescent="0.25">
      <c r="A955" s="4">
        <v>44805</v>
      </c>
      <c r="B955" s="59">
        <v>2</v>
      </c>
      <c r="C955" s="1">
        <v>1</v>
      </c>
      <c r="D955" s="44">
        <v>33</v>
      </c>
      <c r="E955" s="18">
        <v>1</v>
      </c>
      <c r="F955" s="36">
        <v>10</v>
      </c>
      <c r="G955" s="1"/>
      <c r="H955" s="1"/>
      <c r="I955" s="1"/>
      <c r="J955" s="33">
        <v>94</v>
      </c>
      <c r="K955" s="22">
        <v>8</v>
      </c>
      <c r="L955" s="13">
        <v>3</v>
      </c>
      <c r="M955" s="18"/>
      <c r="N955" s="5">
        <v>42</v>
      </c>
      <c r="O955" s="1"/>
      <c r="P955" s="10">
        <v>47</v>
      </c>
      <c r="Q955" s="10">
        <v>215</v>
      </c>
      <c r="R955" s="1"/>
      <c r="S955" s="18"/>
      <c r="T955" s="14">
        <v>36</v>
      </c>
      <c r="U955" s="32">
        <v>24</v>
      </c>
      <c r="V955" s="22">
        <v>41</v>
      </c>
      <c r="W955" s="50">
        <v>116</v>
      </c>
      <c r="X955" s="1"/>
      <c r="Y955" s="18"/>
      <c r="Z955" s="26">
        <v>8</v>
      </c>
      <c r="AA955" s="36">
        <v>129</v>
      </c>
      <c r="AB955" s="13">
        <v>56</v>
      </c>
      <c r="AC955" s="1"/>
      <c r="AD955" s="26">
        <v>10</v>
      </c>
      <c r="AE955" s="18"/>
      <c r="AF955" s="31">
        <v>196</v>
      </c>
      <c r="AG955" s="13">
        <v>34</v>
      </c>
      <c r="AH955" s="1">
        <v>1</v>
      </c>
      <c r="AI955" s="1">
        <v>4</v>
      </c>
      <c r="AJ955" s="13">
        <v>20</v>
      </c>
      <c r="AK955" s="1"/>
      <c r="AL955" s="1"/>
      <c r="AM955" s="11"/>
    </row>
    <row r="956" spans="1:39" customFormat="1" x14ac:dyDescent="0.25">
      <c r="A956" s="4">
        <v>44806</v>
      </c>
      <c r="B956" s="1"/>
      <c r="C956" s="1">
        <v>2</v>
      </c>
      <c r="D956" s="44">
        <v>21</v>
      </c>
      <c r="E956" s="18">
        <v>3</v>
      </c>
      <c r="F956" s="36">
        <v>5</v>
      </c>
      <c r="G956" s="1"/>
      <c r="H956" s="1"/>
      <c r="I956" s="1"/>
      <c r="J956" s="33">
        <v>103</v>
      </c>
      <c r="K956" s="22">
        <v>9</v>
      </c>
      <c r="L956" s="13">
        <v>10</v>
      </c>
      <c r="M956" s="18"/>
      <c r="N956" s="5">
        <v>24</v>
      </c>
      <c r="O956" s="1"/>
      <c r="P956" s="10">
        <v>40</v>
      </c>
      <c r="Q956" s="10">
        <v>175</v>
      </c>
      <c r="R956" s="1"/>
      <c r="S956" s="18"/>
      <c r="T956" s="14">
        <v>23</v>
      </c>
      <c r="U956" s="32">
        <v>23</v>
      </c>
      <c r="V956" s="22">
        <v>33</v>
      </c>
      <c r="W956" s="50">
        <v>123</v>
      </c>
      <c r="X956" s="1"/>
      <c r="Y956" s="18"/>
      <c r="Z956" s="26">
        <v>5</v>
      </c>
      <c r="AA956" s="36">
        <v>107</v>
      </c>
      <c r="AB956" s="13">
        <v>83</v>
      </c>
      <c r="AC956" s="1"/>
      <c r="AD956" s="26">
        <v>19</v>
      </c>
      <c r="AE956" s="18"/>
      <c r="AF956" s="31">
        <v>195</v>
      </c>
      <c r="AG956" s="13">
        <v>35</v>
      </c>
      <c r="AH956" s="1">
        <v>1</v>
      </c>
      <c r="AI956" s="1">
        <v>3</v>
      </c>
      <c r="AJ956" s="13">
        <v>27</v>
      </c>
      <c r="AK956" s="1"/>
      <c r="AL956" s="1"/>
      <c r="AM956" s="11"/>
    </row>
    <row r="957" spans="1:39" customFormat="1" x14ac:dyDescent="0.25">
      <c r="A957" s="4">
        <v>44807</v>
      </c>
      <c r="B957" s="1"/>
      <c r="C957" s="1"/>
      <c r="D957" s="44">
        <f>22+19</f>
        <v>41</v>
      </c>
      <c r="E957" s="18">
        <v>1</v>
      </c>
      <c r="F957" s="36">
        <v>2</v>
      </c>
      <c r="G957" s="1"/>
      <c r="H957" s="1"/>
      <c r="I957" s="1"/>
      <c r="J957" s="33">
        <f>79+24</f>
        <v>103</v>
      </c>
      <c r="K957" s="22">
        <v>18</v>
      </c>
      <c r="L957" s="13">
        <v>15</v>
      </c>
      <c r="M957" s="18"/>
      <c r="N957" s="5">
        <v>16</v>
      </c>
      <c r="O957" s="1"/>
      <c r="P957" s="10">
        <v>17</v>
      </c>
      <c r="Q957" s="10">
        <v>96</v>
      </c>
      <c r="R957" s="1">
        <v>3</v>
      </c>
      <c r="S957" s="18"/>
      <c r="T957" s="14">
        <v>17</v>
      </c>
      <c r="U957" s="32">
        <v>57</v>
      </c>
      <c r="V957" s="22">
        <v>88</v>
      </c>
      <c r="W957" s="50">
        <f>11+113</f>
        <v>124</v>
      </c>
      <c r="X957" s="1"/>
      <c r="Y957" s="18"/>
      <c r="Z957" s="26">
        <v>20</v>
      </c>
      <c r="AA957" s="36">
        <v>135</v>
      </c>
      <c r="AB957" s="13">
        <v>79</v>
      </c>
      <c r="AC957" s="1"/>
      <c r="AD957" s="26">
        <v>9</v>
      </c>
      <c r="AE957" s="18"/>
      <c r="AF957" s="31">
        <f>91+88</f>
        <v>179</v>
      </c>
      <c r="AG957" s="13">
        <v>33</v>
      </c>
      <c r="AH957" s="1"/>
      <c r="AI957" s="1">
        <v>5</v>
      </c>
      <c r="AJ957" s="13">
        <v>16</v>
      </c>
      <c r="AK957" s="1"/>
      <c r="AL957" s="1"/>
      <c r="AM957" s="11"/>
    </row>
    <row r="958" spans="1:39" customFormat="1" x14ac:dyDescent="0.25">
      <c r="A958" s="4">
        <v>44808</v>
      </c>
      <c r="B958" s="1"/>
      <c r="C958" s="1"/>
      <c r="D958" s="44">
        <v>14</v>
      </c>
      <c r="E958" s="1"/>
      <c r="F958" s="1"/>
      <c r="G958" s="1"/>
      <c r="H958" s="1">
        <v>13</v>
      </c>
      <c r="I958" s="1"/>
      <c r="J958" s="33">
        <f>61+26</f>
        <v>87</v>
      </c>
      <c r="K958" s="22">
        <v>17</v>
      </c>
      <c r="L958" s="13">
        <v>26</v>
      </c>
      <c r="M958" s="18"/>
      <c r="N958" s="5">
        <v>12</v>
      </c>
      <c r="O958" s="1"/>
      <c r="P958" s="10">
        <v>24</v>
      </c>
      <c r="Q958" s="10">
        <v>162</v>
      </c>
      <c r="R958" s="1"/>
      <c r="S958" s="18"/>
      <c r="T958" s="14">
        <v>13</v>
      </c>
      <c r="U958" s="32">
        <v>76</v>
      </c>
      <c r="V958" s="22">
        <v>26</v>
      </c>
      <c r="W958" s="50">
        <v>103</v>
      </c>
      <c r="X958" s="1"/>
      <c r="Y958" s="18"/>
      <c r="Z958" s="26">
        <v>21</v>
      </c>
      <c r="AA958" s="36">
        <v>97</v>
      </c>
      <c r="AB958" s="13">
        <v>55</v>
      </c>
      <c r="AC958" s="1"/>
      <c r="AD958" s="26">
        <v>6</v>
      </c>
      <c r="AE958" s="18"/>
      <c r="AF958" s="31">
        <v>182</v>
      </c>
      <c r="AG958" s="13">
        <v>29</v>
      </c>
      <c r="AH958" s="1">
        <v>1</v>
      </c>
      <c r="AI958" s="1">
        <v>1</v>
      </c>
      <c r="AJ958" s="13">
        <v>18</v>
      </c>
      <c r="AK958" s="1"/>
      <c r="AL958" s="1"/>
      <c r="AM958" s="11"/>
    </row>
    <row r="959" spans="1:39" customFormat="1" x14ac:dyDescent="0.25">
      <c r="A959" s="4">
        <v>44809</v>
      </c>
      <c r="B959" s="1"/>
      <c r="C959" s="45">
        <v>1</v>
      </c>
      <c r="D959" s="44">
        <v>12</v>
      </c>
      <c r="E959" s="1"/>
      <c r="F959" s="1">
        <v>2</v>
      </c>
      <c r="G959" s="1"/>
      <c r="H959" s="1">
        <v>4</v>
      </c>
      <c r="I959" s="1">
        <v>1</v>
      </c>
      <c r="J959" s="33">
        <f>41+17</f>
        <v>58</v>
      </c>
      <c r="K959" s="22">
        <v>29</v>
      </c>
      <c r="L959" s="13">
        <v>3</v>
      </c>
      <c r="M959" s="18"/>
      <c r="N959" s="5">
        <v>10</v>
      </c>
      <c r="O959" s="1"/>
      <c r="P959" s="10">
        <v>20</v>
      </c>
      <c r="Q959" s="10">
        <f>7+148</f>
        <v>155</v>
      </c>
      <c r="R959" s="1"/>
      <c r="S959" s="18"/>
      <c r="T959" s="14">
        <v>8</v>
      </c>
      <c r="U959" s="32">
        <v>74</v>
      </c>
      <c r="V959" s="22">
        <v>19</v>
      </c>
      <c r="W959" s="50">
        <v>91</v>
      </c>
      <c r="X959" s="1"/>
      <c r="Y959" s="18"/>
      <c r="Z959" s="26">
        <f>32+69</f>
        <v>101</v>
      </c>
      <c r="AA959" s="36">
        <v>95</v>
      </c>
      <c r="AB959" s="13">
        <v>65</v>
      </c>
      <c r="AC959" s="1"/>
      <c r="AD959" s="26">
        <v>2</v>
      </c>
      <c r="AE959" s="18"/>
      <c r="AF959" s="31">
        <f>67+70</f>
        <v>137</v>
      </c>
      <c r="AG959" s="13">
        <v>32</v>
      </c>
      <c r="AH959" s="1"/>
      <c r="AI959" s="1">
        <v>3</v>
      </c>
      <c r="AJ959" s="13">
        <v>15</v>
      </c>
      <c r="AK959" s="1"/>
      <c r="AL959" s="1"/>
      <c r="AM959" s="11"/>
    </row>
    <row r="960" spans="1:39" customFormat="1" x14ac:dyDescent="0.25">
      <c r="A960" s="4">
        <v>44810</v>
      </c>
      <c r="B960" s="1"/>
      <c r="C960" s="45">
        <v>14</v>
      </c>
      <c r="D960" s="44">
        <v>7</v>
      </c>
      <c r="E960" s="31">
        <v>1</v>
      </c>
      <c r="F960" s="1">
        <v>1</v>
      </c>
      <c r="G960" s="1"/>
      <c r="H960" s="1">
        <v>1</v>
      </c>
      <c r="I960" s="1"/>
      <c r="J960" s="33">
        <f>36+18</f>
        <v>54</v>
      </c>
      <c r="K960" s="22">
        <v>68</v>
      </c>
      <c r="L960" s="13">
        <v>30</v>
      </c>
      <c r="M960" s="18"/>
      <c r="N960" s="5">
        <v>6</v>
      </c>
      <c r="O960" s="1"/>
      <c r="P960" s="10">
        <v>14</v>
      </c>
      <c r="Q960" s="10">
        <f>13+179</f>
        <v>192</v>
      </c>
      <c r="R960" s="1"/>
      <c r="S960" s="18"/>
      <c r="T960" s="1"/>
      <c r="U960" s="32">
        <v>60</v>
      </c>
      <c r="V960" s="22">
        <v>6</v>
      </c>
      <c r="W960" s="50">
        <v>79</v>
      </c>
      <c r="X960" s="1"/>
      <c r="Y960" s="18"/>
      <c r="Z960" s="26">
        <f>53+81</f>
        <v>134</v>
      </c>
      <c r="AA960" s="36">
        <v>107</v>
      </c>
      <c r="AB960" s="13">
        <f>12+80</f>
        <v>92</v>
      </c>
      <c r="AC960" s="1"/>
      <c r="AD960" s="26">
        <v>13</v>
      </c>
      <c r="AE960" s="18"/>
      <c r="AF960" s="58">
        <f>77+72</f>
        <v>149</v>
      </c>
      <c r="AG960" s="13">
        <v>29</v>
      </c>
      <c r="AH960" s="1"/>
      <c r="AI960" s="1">
        <v>1</v>
      </c>
      <c r="AJ960" s="33">
        <v>7</v>
      </c>
      <c r="AK960" s="1"/>
      <c r="AL960" s="1"/>
      <c r="AM960" s="11"/>
    </row>
    <row r="961" spans="1:39" customFormat="1" x14ac:dyDescent="0.25">
      <c r="A961" s="4">
        <v>44811</v>
      </c>
      <c r="B961" s="1">
        <v>1</v>
      </c>
      <c r="C961" s="45">
        <v>10</v>
      </c>
      <c r="D961" s="44">
        <v>3</v>
      </c>
      <c r="E961" s="31">
        <v>13</v>
      </c>
      <c r="F961" s="1"/>
      <c r="G961" s="1"/>
      <c r="H961" s="1"/>
      <c r="I961" s="1">
        <v>3</v>
      </c>
      <c r="J961" s="33">
        <v>36</v>
      </c>
      <c r="K961" s="22">
        <v>70</v>
      </c>
      <c r="L961" s="13">
        <v>20</v>
      </c>
      <c r="M961" s="18"/>
      <c r="N961" s="5">
        <v>5</v>
      </c>
      <c r="O961" s="1"/>
      <c r="P961" s="10">
        <v>12</v>
      </c>
      <c r="Q961" s="10">
        <v>110</v>
      </c>
      <c r="R961" s="1"/>
      <c r="S961" s="18"/>
      <c r="T961" s="1"/>
      <c r="U961" s="32">
        <v>59</v>
      </c>
      <c r="V961" s="22">
        <v>6</v>
      </c>
      <c r="W961" s="50">
        <v>74</v>
      </c>
      <c r="X961" s="1"/>
      <c r="Y961" s="18"/>
      <c r="Z961" s="26">
        <f>65+63</f>
        <v>128</v>
      </c>
      <c r="AA961" s="36">
        <v>56</v>
      </c>
      <c r="AB961" s="13">
        <f>13+77</f>
        <v>90</v>
      </c>
      <c r="AC961" s="1"/>
      <c r="AD961" s="26">
        <v>5</v>
      </c>
      <c r="AE961" s="18"/>
      <c r="AF961" s="31">
        <f>64+95</f>
        <v>159</v>
      </c>
      <c r="AG961" s="13">
        <v>28</v>
      </c>
      <c r="AH961" s="1">
        <v>6</v>
      </c>
      <c r="AI961" s="1"/>
      <c r="AJ961" s="33">
        <v>12</v>
      </c>
      <c r="AK961" s="1"/>
      <c r="AL961" s="1"/>
      <c r="AM961" s="11"/>
    </row>
    <row r="962" spans="1:39" customFormat="1" x14ac:dyDescent="0.25">
      <c r="A962" s="4">
        <v>44812</v>
      </c>
      <c r="B962" s="1">
        <v>4</v>
      </c>
      <c r="C962" s="45">
        <v>19</v>
      </c>
      <c r="D962" s="44">
        <v>5</v>
      </c>
      <c r="E962" s="31">
        <v>2</v>
      </c>
      <c r="F962" s="1"/>
      <c r="G962" s="1"/>
      <c r="H962" s="1"/>
      <c r="I962" s="1">
        <v>3</v>
      </c>
      <c r="J962" s="33">
        <f>33+28</f>
        <v>61</v>
      </c>
      <c r="K962" s="22">
        <v>99</v>
      </c>
      <c r="L962" s="13">
        <v>18</v>
      </c>
      <c r="M962" s="18"/>
      <c r="N962" s="10">
        <v>3</v>
      </c>
      <c r="O962" s="1"/>
      <c r="P962" s="10">
        <v>8</v>
      </c>
      <c r="Q962" s="10">
        <v>115</v>
      </c>
      <c r="R962" s="1"/>
      <c r="S962" s="18"/>
      <c r="T962" s="1"/>
      <c r="U962" s="32">
        <v>57</v>
      </c>
      <c r="V962" s="22">
        <v>2</v>
      </c>
      <c r="W962" s="50">
        <v>79</v>
      </c>
      <c r="X962" s="1"/>
      <c r="Y962" s="18"/>
      <c r="Z962" s="26">
        <f>27+77</f>
        <v>104</v>
      </c>
      <c r="AA962" s="36">
        <v>21</v>
      </c>
      <c r="AB962" s="13">
        <f>15+81</f>
        <v>96</v>
      </c>
      <c r="AC962" s="1"/>
      <c r="AD962" s="26">
        <v>14</v>
      </c>
      <c r="AE962" s="18"/>
      <c r="AF962" s="31">
        <f>55+71</f>
        <v>126</v>
      </c>
      <c r="AG962" s="13">
        <v>27</v>
      </c>
      <c r="AH962" s="1">
        <v>5</v>
      </c>
      <c r="AI962" s="1"/>
      <c r="AJ962" s="33">
        <v>12</v>
      </c>
      <c r="AK962" s="1"/>
      <c r="AL962" s="1"/>
      <c r="AM962" s="11"/>
    </row>
    <row r="963" spans="1:39" customFormat="1" x14ac:dyDescent="0.25">
      <c r="A963" s="4">
        <v>44813</v>
      </c>
      <c r="B963" s="1">
        <v>3</v>
      </c>
      <c r="C963" s="45">
        <v>14</v>
      </c>
      <c r="D963" s="44">
        <v>7</v>
      </c>
      <c r="E963" s="31">
        <v>5</v>
      </c>
      <c r="F963" s="1">
        <v>2</v>
      </c>
      <c r="G963" s="1"/>
      <c r="H963" s="1"/>
      <c r="I963" s="1">
        <v>2</v>
      </c>
      <c r="J963" s="33">
        <v>31</v>
      </c>
      <c r="K963" s="22">
        <v>93</v>
      </c>
      <c r="L963" s="13">
        <v>48</v>
      </c>
      <c r="M963" s="18"/>
      <c r="N963" s="12">
        <v>15</v>
      </c>
      <c r="O963" s="1"/>
      <c r="P963" s="10">
        <v>6</v>
      </c>
      <c r="Q963" s="10">
        <v>112</v>
      </c>
      <c r="R963" s="1">
        <v>1</v>
      </c>
      <c r="S963" s="18"/>
      <c r="T963" s="14">
        <v>2</v>
      </c>
      <c r="U963" s="32">
        <v>59</v>
      </c>
      <c r="V963" s="22">
        <v>6</v>
      </c>
      <c r="W963" s="50">
        <v>56</v>
      </c>
      <c r="X963" s="1"/>
      <c r="Y963" s="18"/>
      <c r="Z963" s="26">
        <f>25+36</f>
        <v>61</v>
      </c>
      <c r="AA963" s="36">
        <v>20</v>
      </c>
      <c r="AB963" s="13">
        <v>83</v>
      </c>
      <c r="AC963" s="1"/>
      <c r="AD963" s="26">
        <v>19</v>
      </c>
      <c r="AE963" s="18"/>
      <c r="AF963" s="31">
        <f>61+82</f>
        <v>143</v>
      </c>
      <c r="AG963" s="13">
        <v>27</v>
      </c>
      <c r="AH963" s="1">
        <v>2</v>
      </c>
      <c r="AI963" s="1"/>
      <c r="AJ963" s="33">
        <v>40</v>
      </c>
      <c r="AK963" s="1"/>
      <c r="AL963" s="1"/>
      <c r="AM963" s="11"/>
    </row>
    <row r="964" spans="1:39" customFormat="1" x14ac:dyDescent="0.25">
      <c r="A964" s="4">
        <v>44814</v>
      </c>
      <c r="B964" s="1">
        <v>1</v>
      </c>
      <c r="C964" s="45">
        <v>10</v>
      </c>
      <c r="D964" s="44">
        <v>6</v>
      </c>
      <c r="E964" s="31">
        <v>8</v>
      </c>
      <c r="F964" s="1">
        <v>2</v>
      </c>
      <c r="G964" s="1"/>
      <c r="H964" s="1"/>
      <c r="I964" s="1"/>
      <c r="J964" s="33">
        <v>25</v>
      </c>
      <c r="K964" s="22">
        <v>63</v>
      </c>
      <c r="L964" s="13">
        <v>124</v>
      </c>
      <c r="M964" s="18"/>
      <c r="N964" s="12">
        <v>12</v>
      </c>
      <c r="O964" s="1"/>
      <c r="P964" s="10">
        <v>1</v>
      </c>
      <c r="Q964" s="10">
        <v>87</v>
      </c>
      <c r="R964" s="1"/>
      <c r="S964" s="18"/>
      <c r="T964" s="14">
        <v>0</v>
      </c>
      <c r="U964" s="32">
        <v>69</v>
      </c>
      <c r="V964" s="22">
        <v>4</v>
      </c>
      <c r="W964" s="50">
        <v>38</v>
      </c>
      <c r="X964" s="1"/>
      <c r="Y964" s="18"/>
      <c r="Z964" s="26">
        <f>17+32</f>
        <v>49</v>
      </c>
      <c r="AA964" s="36">
        <v>13</v>
      </c>
      <c r="AB964" s="13">
        <v>64</v>
      </c>
      <c r="AC964" s="1"/>
      <c r="AD964" s="26">
        <v>24</v>
      </c>
      <c r="AE964" s="18"/>
      <c r="AF964" s="31">
        <f>86+90</f>
        <v>176</v>
      </c>
      <c r="AG964" s="13">
        <v>26</v>
      </c>
      <c r="AH964" s="1">
        <v>3</v>
      </c>
      <c r="AI964" s="1">
        <v>1</v>
      </c>
      <c r="AJ964" s="33">
        <v>45</v>
      </c>
      <c r="AK964" s="1"/>
      <c r="AL964" s="1"/>
      <c r="AM964" s="11"/>
    </row>
    <row r="965" spans="1:39" customFormat="1" x14ac:dyDescent="0.25">
      <c r="A965" s="4">
        <v>44815</v>
      </c>
      <c r="B965" s="1">
        <v>1</v>
      </c>
      <c r="C965" s="45">
        <v>14</v>
      </c>
      <c r="D965" s="44">
        <v>4</v>
      </c>
      <c r="E965" s="31">
        <v>3</v>
      </c>
      <c r="F965" s="1">
        <v>2</v>
      </c>
      <c r="G965" s="1"/>
      <c r="H965" s="1"/>
      <c r="I965" s="1"/>
      <c r="J965" s="33">
        <v>25</v>
      </c>
      <c r="K965" s="22">
        <v>29</v>
      </c>
      <c r="L965" s="13">
        <v>137</v>
      </c>
      <c r="M965" s="18"/>
      <c r="N965" s="12">
        <v>17</v>
      </c>
      <c r="O965" s="1"/>
      <c r="P965" s="10">
        <v>4</v>
      </c>
      <c r="Q965" s="10">
        <v>69</v>
      </c>
      <c r="R965" s="1">
        <v>1</v>
      </c>
      <c r="S965" s="18"/>
      <c r="T965" s="14">
        <v>5</v>
      </c>
      <c r="U965" s="32">
        <v>60</v>
      </c>
      <c r="V965" s="22">
        <v>1</v>
      </c>
      <c r="W965" s="50">
        <v>28</v>
      </c>
      <c r="X965" s="1"/>
      <c r="Y965" s="18"/>
      <c r="Z965" s="26">
        <v>28</v>
      </c>
      <c r="AA965" s="36">
        <v>6</v>
      </c>
      <c r="AB965" s="13">
        <v>37</v>
      </c>
      <c r="AC965" s="1"/>
      <c r="AD965" s="26">
        <v>31</v>
      </c>
      <c r="AE965" s="18"/>
      <c r="AF965" s="31">
        <f>59+62</f>
        <v>121</v>
      </c>
      <c r="AG965" s="13">
        <v>24</v>
      </c>
      <c r="AH965" s="1">
        <v>1</v>
      </c>
      <c r="AI965" s="1"/>
      <c r="AJ965" s="33">
        <v>38</v>
      </c>
      <c r="AK965" s="1"/>
      <c r="AL965" s="1"/>
      <c r="AM965" s="11"/>
    </row>
    <row r="966" spans="1:39" customFormat="1" x14ac:dyDescent="0.25">
      <c r="A966" s="4">
        <v>44816</v>
      </c>
      <c r="B966" s="1"/>
      <c r="C966" s="45">
        <v>15</v>
      </c>
      <c r="D966" s="14">
        <v>2</v>
      </c>
      <c r="E966" s="31">
        <v>0</v>
      </c>
      <c r="F966" s="1">
        <v>1</v>
      </c>
      <c r="G966" s="1"/>
      <c r="H966" s="1"/>
      <c r="I966" s="1">
        <v>2</v>
      </c>
      <c r="J966" s="33">
        <v>11</v>
      </c>
      <c r="K966" s="22">
        <v>41</v>
      </c>
      <c r="L966" s="13">
        <v>145</v>
      </c>
      <c r="M966" s="18"/>
      <c r="N966" s="12">
        <v>24</v>
      </c>
      <c r="O966" s="1"/>
      <c r="P966" s="1"/>
      <c r="Q966" s="10">
        <v>21</v>
      </c>
      <c r="R966" s="1"/>
      <c r="S966" s="18"/>
      <c r="T966" s="14">
        <v>3</v>
      </c>
      <c r="U966" s="32">
        <v>53</v>
      </c>
      <c r="V966" s="1"/>
      <c r="W966" s="50">
        <v>25</v>
      </c>
      <c r="X966" s="1"/>
      <c r="Y966" s="18"/>
      <c r="Z966" s="26">
        <v>26</v>
      </c>
      <c r="AA966" s="36">
        <v>2</v>
      </c>
      <c r="AB966" s="13">
        <v>41</v>
      </c>
      <c r="AC966" s="1"/>
      <c r="AD966" s="26">
        <v>13</v>
      </c>
      <c r="AE966" s="18"/>
      <c r="AF966" s="31">
        <f>97+84</f>
        <v>181</v>
      </c>
      <c r="AG966" s="13">
        <v>23</v>
      </c>
      <c r="AH966" s="1">
        <v>5</v>
      </c>
      <c r="AI966" s="1"/>
      <c r="AJ966" s="33">
        <v>32</v>
      </c>
      <c r="AK966" s="1"/>
      <c r="AL966" s="1"/>
      <c r="AM966" s="11"/>
    </row>
    <row r="967" spans="1:39" customFormat="1" x14ac:dyDescent="0.25">
      <c r="A967" s="4">
        <v>44817</v>
      </c>
      <c r="B967" s="1"/>
      <c r="C967" s="45">
        <v>17</v>
      </c>
      <c r="D967" s="14">
        <v>4</v>
      </c>
      <c r="E967" s="31">
        <v>1</v>
      </c>
      <c r="F967" s="1"/>
      <c r="G967" s="1"/>
      <c r="H967" s="1"/>
      <c r="I967" s="1"/>
      <c r="J967" s="33">
        <v>9</v>
      </c>
      <c r="K967" s="22">
        <v>58</v>
      </c>
      <c r="L967" s="13">
        <v>248</v>
      </c>
      <c r="M967" s="18"/>
      <c r="N967" s="12">
        <v>13</v>
      </c>
      <c r="O967" s="1"/>
      <c r="P967" s="1"/>
      <c r="Q967" s="10">
        <v>45</v>
      </c>
      <c r="R967" s="1">
        <v>5</v>
      </c>
      <c r="S967" s="18"/>
      <c r="T967" s="14">
        <v>16</v>
      </c>
      <c r="U967" s="32">
        <v>57</v>
      </c>
      <c r="V967" s="1"/>
      <c r="W967" s="50">
        <v>10</v>
      </c>
      <c r="X967" s="1"/>
      <c r="Y967" s="18"/>
      <c r="Z967" s="26">
        <v>18</v>
      </c>
      <c r="AA967" s="36">
        <v>4</v>
      </c>
      <c r="AB967" s="13">
        <v>45</v>
      </c>
      <c r="AC967" s="1"/>
      <c r="AD967" s="26">
        <v>14</v>
      </c>
      <c r="AE967" s="18"/>
      <c r="AF967" s="31">
        <f>73+83</f>
        <v>156</v>
      </c>
      <c r="AG967" s="13">
        <v>25</v>
      </c>
      <c r="AH967" s="1"/>
      <c r="AI967" s="1"/>
      <c r="AJ967" s="33">
        <v>18</v>
      </c>
      <c r="AK967" s="1"/>
      <c r="AL967" s="1"/>
      <c r="AM967" s="11"/>
    </row>
    <row r="968" spans="1:39" customFormat="1" x14ac:dyDescent="0.25">
      <c r="A968" s="4">
        <v>44818</v>
      </c>
      <c r="B968" s="1">
        <v>2</v>
      </c>
      <c r="C968" s="45">
        <v>1</v>
      </c>
      <c r="D968" s="14">
        <v>11</v>
      </c>
      <c r="E968" s="1"/>
      <c r="F968" s="1">
        <v>2</v>
      </c>
      <c r="G968" s="1"/>
      <c r="H968" s="1"/>
      <c r="I968" s="1"/>
      <c r="J968" s="33">
        <v>9</v>
      </c>
      <c r="K968" s="22">
        <v>60</v>
      </c>
      <c r="L968" s="13">
        <v>307</v>
      </c>
      <c r="M968" s="18"/>
      <c r="N968" s="12">
        <v>15</v>
      </c>
      <c r="O968" s="1"/>
      <c r="P968" s="1">
        <v>5</v>
      </c>
      <c r="Q968" s="10">
        <v>22</v>
      </c>
      <c r="R968" s="1"/>
      <c r="S968" s="18"/>
      <c r="T968" s="14">
        <v>2</v>
      </c>
      <c r="U968" s="32">
        <v>53</v>
      </c>
      <c r="V968" s="1"/>
      <c r="W968" s="50">
        <v>8</v>
      </c>
      <c r="X968" s="1"/>
      <c r="Y968" s="18"/>
      <c r="Z968" s="26">
        <v>12</v>
      </c>
      <c r="AA968" s="1"/>
      <c r="AB968" s="13">
        <v>12</v>
      </c>
      <c r="AC968" s="1"/>
      <c r="AD968" s="26">
        <v>9</v>
      </c>
      <c r="AE968" s="18"/>
      <c r="AF968" s="31">
        <f>57+159</f>
        <v>216</v>
      </c>
      <c r="AG968" s="13">
        <v>25</v>
      </c>
      <c r="AH968" s="16">
        <v>2</v>
      </c>
      <c r="AI968" s="1">
        <v>1</v>
      </c>
      <c r="AJ968" s="33">
        <v>30</v>
      </c>
      <c r="AK968" s="1"/>
      <c r="AL968" s="1"/>
      <c r="AM968" s="11"/>
    </row>
    <row r="969" spans="1:39" customFormat="1" x14ac:dyDescent="0.25">
      <c r="A969" s="4">
        <v>44819</v>
      </c>
      <c r="B969" s="1">
        <v>1</v>
      </c>
      <c r="C969" s="45">
        <v>2</v>
      </c>
      <c r="D969" s="14">
        <v>36</v>
      </c>
      <c r="E969" s="1">
        <v>3</v>
      </c>
      <c r="F969" s="1">
        <v>4</v>
      </c>
      <c r="G969" s="1"/>
      <c r="H969" s="1">
        <v>1</v>
      </c>
      <c r="I969" s="1">
        <v>3</v>
      </c>
      <c r="J969" s="33">
        <v>6</v>
      </c>
      <c r="K969" s="22">
        <v>55</v>
      </c>
      <c r="L969" s="13">
        <v>270</v>
      </c>
      <c r="M969" s="18"/>
      <c r="N969" s="12">
        <v>23</v>
      </c>
      <c r="O969" s="18">
        <v>1</v>
      </c>
      <c r="P969" s="1">
        <v>2</v>
      </c>
      <c r="Q969" s="10">
        <v>8</v>
      </c>
      <c r="R969" s="1">
        <v>2</v>
      </c>
      <c r="S969" s="18"/>
      <c r="T969" s="14">
        <v>5</v>
      </c>
      <c r="U969" s="32">
        <v>39</v>
      </c>
      <c r="V969" s="1"/>
      <c r="W969" s="50">
        <v>1</v>
      </c>
      <c r="X969" s="1"/>
      <c r="Y969" s="18"/>
      <c r="Z969" s="26">
        <v>7</v>
      </c>
      <c r="AA969" s="18">
        <v>1</v>
      </c>
      <c r="AB969" s="13">
        <v>21</v>
      </c>
      <c r="AC969" s="1"/>
      <c r="AD969" s="26">
        <v>4</v>
      </c>
      <c r="AE969" s="18"/>
      <c r="AF969" s="31">
        <f>25+132</f>
        <v>157</v>
      </c>
      <c r="AG969" s="13">
        <v>23</v>
      </c>
      <c r="AH969" s="16">
        <v>5</v>
      </c>
      <c r="AI969" s="1"/>
      <c r="AJ969" s="33">
        <v>30</v>
      </c>
      <c r="AK969" s="1"/>
      <c r="AL969" s="1"/>
      <c r="AM969" s="11"/>
    </row>
    <row r="970" spans="1:39" customFormat="1" x14ac:dyDescent="0.25">
      <c r="A970" s="4">
        <v>44820</v>
      </c>
      <c r="B970" s="1"/>
      <c r="C970" s="1"/>
      <c r="D970" s="14">
        <v>45</v>
      </c>
      <c r="E970" s="1">
        <v>1</v>
      </c>
      <c r="F970" s="1">
        <v>4</v>
      </c>
      <c r="G970" s="1"/>
      <c r="H970" s="1"/>
      <c r="I970" s="1"/>
      <c r="J970" s="33">
        <v>4</v>
      </c>
      <c r="K970" s="22">
        <v>49</v>
      </c>
      <c r="L970" s="13">
        <f>8+146</f>
        <v>154</v>
      </c>
      <c r="M970" s="18"/>
      <c r="N970" s="12">
        <v>14</v>
      </c>
      <c r="O970" s="18">
        <v>2</v>
      </c>
      <c r="P970" s="1"/>
      <c r="Q970" s="10">
        <v>3</v>
      </c>
      <c r="R970" s="1"/>
      <c r="S970" s="18"/>
      <c r="T970" s="14">
        <v>2</v>
      </c>
      <c r="U970" s="32">
        <v>9</v>
      </c>
      <c r="V970" s="1"/>
      <c r="W970" s="1"/>
      <c r="X970" s="1"/>
      <c r="Y970" s="18"/>
      <c r="Z970" s="26">
        <v>12</v>
      </c>
      <c r="AA970" s="18">
        <v>1</v>
      </c>
      <c r="AB970" s="13">
        <v>32</v>
      </c>
      <c r="AC970" s="1"/>
      <c r="AD970" s="26">
        <v>8</v>
      </c>
      <c r="AE970" s="18"/>
      <c r="AF970" s="31">
        <f>19+87</f>
        <v>106</v>
      </c>
      <c r="AG970" s="13">
        <v>23</v>
      </c>
      <c r="AH970" s="16">
        <v>4</v>
      </c>
      <c r="AI970" s="1">
        <v>1</v>
      </c>
      <c r="AJ970" s="33">
        <v>25</v>
      </c>
      <c r="AK970" s="1"/>
      <c r="AL970" s="1"/>
      <c r="AM970" s="11"/>
    </row>
    <row r="971" spans="1:39" customFormat="1" x14ac:dyDescent="0.25">
      <c r="A971" s="4">
        <v>44821</v>
      </c>
      <c r="B971" s="1"/>
      <c r="C971" s="1"/>
      <c r="D971" s="14">
        <v>28</v>
      </c>
      <c r="E971" s="1"/>
      <c r="F971" s="1">
        <v>2</v>
      </c>
      <c r="G971" s="1"/>
      <c r="H971" s="1"/>
      <c r="I971" s="1">
        <v>3</v>
      </c>
      <c r="J971" s="33">
        <v>2</v>
      </c>
      <c r="K971" s="22">
        <v>29</v>
      </c>
      <c r="L971" s="13">
        <f>44+662</f>
        <v>706</v>
      </c>
      <c r="M971" s="18"/>
      <c r="N971" s="12">
        <v>9</v>
      </c>
      <c r="O971" s="18">
        <v>11</v>
      </c>
      <c r="P971" s="16">
        <v>2</v>
      </c>
      <c r="Q971" s="5">
        <v>4</v>
      </c>
      <c r="R971" s="1">
        <v>1</v>
      </c>
      <c r="S971" s="18"/>
      <c r="T971" s="1"/>
      <c r="U971" s="32">
        <v>5</v>
      </c>
      <c r="V971" s="1"/>
      <c r="W971" s="1"/>
      <c r="X971" s="1"/>
      <c r="Y971" s="18"/>
      <c r="Z971" s="26">
        <v>8</v>
      </c>
      <c r="AA971" s="18">
        <v>2</v>
      </c>
      <c r="AB971" s="13">
        <v>14</v>
      </c>
      <c r="AC971" s="1"/>
      <c r="AD971" s="26">
        <v>2</v>
      </c>
      <c r="AE971" s="18"/>
      <c r="AF971" s="31">
        <f>25+82</f>
        <v>107</v>
      </c>
      <c r="AG971" s="13">
        <v>24</v>
      </c>
      <c r="AH971" s="16">
        <v>6</v>
      </c>
      <c r="AI971" s="1"/>
      <c r="AJ971" s="33">
        <v>12</v>
      </c>
      <c r="AK971" s="1"/>
      <c r="AL971" s="1"/>
      <c r="AM971" s="11"/>
    </row>
    <row r="972" spans="1:39" customFormat="1" x14ac:dyDescent="0.25">
      <c r="A972" s="4">
        <v>44822</v>
      </c>
      <c r="B972" s="1"/>
      <c r="C972" s="1"/>
      <c r="D972" s="14">
        <v>26</v>
      </c>
      <c r="E972" s="1">
        <v>3</v>
      </c>
      <c r="F972" s="1">
        <v>1</v>
      </c>
      <c r="G972" s="1"/>
      <c r="H972" s="1"/>
      <c r="I972" s="1"/>
      <c r="J972" s="33">
        <v>3</v>
      </c>
      <c r="K972" s="22">
        <v>31</v>
      </c>
      <c r="L972" s="13">
        <v>362</v>
      </c>
      <c r="M972" s="18"/>
      <c r="N972" s="12">
        <v>3</v>
      </c>
      <c r="O972" s="18">
        <v>12</v>
      </c>
      <c r="P972" s="16">
        <v>7</v>
      </c>
      <c r="Q972" s="5">
        <v>12</v>
      </c>
      <c r="R972" s="1"/>
      <c r="S972" s="18"/>
      <c r="T972" s="18">
        <v>5</v>
      </c>
      <c r="U972" s="32">
        <v>4</v>
      </c>
      <c r="V972" s="1"/>
      <c r="W972" s="1"/>
      <c r="X972" s="1"/>
      <c r="Y972" s="18"/>
      <c r="Z972" s="26">
        <v>3</v>
      </c>
      <c r="AA972" s="18">
        <v>2</v>
      </c>
      <c r="AB972" s="13">
        <v>5</v>
      </c>
      <c r="AC972" s="1"/>
      <c r="AD972" s="26">
        <v>3</v>
      </c>
      <c r="AE972" s="18"/>
      <c r="AF972" s="31">
        <f>21+47</f>
        <v>68</v>
      </c>
      <c r="AG972" s="13">
        <v>19</v>
      </c>
      <c r="AH972" s="16">
        <v>4</v>
      </c>
      <c r="AI972" s="1">
        <v>1</v>
      </c>
      <c r="AJ972" s="33">
        <v>1</v>
      </c>
      <c r="AK972" s="1"/>
      <c r="AL972" s="1"/>
      <c r="AM972" s="11"/>
    </row>
    <row r="973" spans="1:39" customFormat="1" x14ac:dyDescent="0.25">
      <c r="A973" s="4">
        <v>44823</v>
      </c>
      <c r="B973" s="1"/>
      <c r="C973" s="1"/>
      <c r="D973" s="14">
        <v>18</v>
      </c>
      <c r="E973" s="1">
        <v>1</v>
      </c>
      <c r="F973" s="1">
        <v>1</v>
      </c>
      <c r="G973" s="1"/>
      <c r="H973" s="1"/>
      <c r="I973" s="1"/>
      <c r="J973" s="33">
        <v>1</v>
      </c>
      <c r="K973" s="22">
        <v>7</v>
      </c>
      <c r="L973" s="13">
        <f>23+208</f>
        <v>231</v>
      </c>
      <c r="M973" s="18"/>
      <c r="N973" s="12">
        <v>2</v>
      </c>
      <c r="O973" s="18">
        <v>5</v>
      </c>
      <c r="P973" s="16">
        <v>7</v>
      </c>
      <c r="Q973" s="5">
        <v>45</v>
      </c>
      <c r="R973" s="1">
        <v>1</v>
      </c>
      <c r="S973" s="18"/>
      <c r="T973" s="18">
        <v>3</v>
      </c>
      <c r="U973" s="32">
        <v>2</v>
      </c>
      <c r="V973" s="1"/>
      <c r="W973" s="1"/>
      <c r="X973" s="1"/>
      <c r="Y973" s="18"/>
      <c r="Z973" s="1"/>
      <c r="AA973" s="18">
        <v>4</v>
      </c>
      <c r="AB973" s="13">
        <v>1</v>
      </c>
      <c r="AC973" s="1"/>
      <c r="AD973" s="1"/>
      <c r="AE973" s="18"/>
      <c r="AF973" s="31">
        <f>24+37</f>
        <v>61</v>
      </c>
      <c r="AG973" s="13">
        <v>12</v>
      </c>
      <c r="AH973" s="16">
        <v>4</v>
      </c>
      <c r="AI973" s="1">
        <v>1</v>
      </c>
      <c r="AJ973" s="33">
        <v>11</v>
      </c>
      <c r="AK973" s="1"/>
      <c r="AL973" s="1"/>
      <c r="AM973" s="11"/>
    </row>
    <row r="974" spans="1:39" customFormat="1" x14ac:dyDescent="0.25">
      <c r="A974" s="4">
        <v>44824</v>
      </c>
      <c r="B974" s="1"/>
      <c r="C974" s="1"/>
      <c r="D974" s="14">
        <v>11</v>
      </c>
      <c r="E974" s="1"/>
      <c r="F974" s="1"/>
      <c r="G974" s="1"/>
      <c r="H974" s="1"/>
      <c r="I974" s="1"/>
      <c r="J974" s="16">
        <v>5</v>
      </c>
      <c r="K974" s="22">
        <v>10</v>
      </c>
      <c r="L974" s="13">
        <f>48+131</f>
        <v>179</v>
      </c>
      <c r="M974" s="18"/>
      <c r="N974" s="12">
        <v>5</v>
      </c>
      <c r="O974" s="18">
        <v>2</v>
      </c>
      <c r="P974" s="16">
        <v>8</v>
      </c>
      <c r="Q974" s="5">
        <v>110</v>
      </c>
      <c r="R974" s="1"/>
      <c r="S974" s="18"/>
      <c r="T974" s="18">
        <v>1</v>
      </c>
      <c r="U974" s="32">
        <v>1</v>
      </c>
      <c r="V974" s="1"/>
      <c r="W974" s="1"/>
      <c r="X974" s="14">
        <v>4</v>
      </c>
      <c r="Y974" s="18"/>
      <c r="Z974" s="1"/>
      <c r="AA974" s="18">
        <v>5</v>
      </c>
      <c r="AB974" s="13">
        <v>3</v>
      </c>
      <c r="AC974" s="1"/>
      <c r="AD974" s="16">
        <v>1</v>
      </c>
      <c r="AE974" s="18"/>
      <c r="AF974" s="31">
        <f>22+27</f>
        <v>49</v>
      </c>
      <c r="AG974" s="13">
        <v>11</v>
      </c>
      <c r="AH974" s="16">
        <v>6</v>
      </c>
      <c r="AI974" s="1">
        <v>2</v>
      </c>
      <c r="AJ974" s="33">
        <v>9</v>
      </c>
      <c r="AK974" s="1"/>
      <c r="AL974" s="1"/>
      <c r="AM974" s="11"/>
    </row>
    <row r="975" spans="1:39" customFormat="1" x14ac:dyDescent="0.25">
      <c r="A975" s="4">
        <v>44825</v>
      </c>
      <c r="B975" s="1">
        <v>2</v>
      </c>
      <c r="C975" s="1"/>
      <c r="D975" s="14">
        <v>11</v>
      </c>
      <c r="E975" s="1"/>
      <c r="F975" s="1">
        <v>5</v>
      </c>
      <c r="G975" s="1"/>
      <c r="H975" s="1"/>
      <c r="I975" s="1">
        <v>1</v>
      </c>
      <c r="J975" s="16">
        <v>2</v>
      </c>
      <c r="K975" s="22">
        <v>15</v>
      </c>
      <c r="L975" s="13">
        <f>39+134</f>
        <v>173</v>
      </c>
      <c r="M975" s="18"/>
      <c r="N975" s="12">
        <v>3</v>
      </c>
      <c r="O975" s="18">
        <v>0</v>
      </c>
      <c r="P975" s="16">
        <v>9</v>
      </c>
      <c r="Q975" s="5">
        <f>7+109</f>
        <v>116</v>
      </c>
      <c r="R975" s="1"/>
      <c r="S975" s="18"/>
      <c r="T975" s="18">
        <v>2</v>
      </c>
      <c r="U975" s="1"/>
      <c r="V975" s="1"/>
      <c r="W975" s="1"/>
      <c r="X975" s="14">
        <v>19</v>
      </c>
      <c r="Y975" s="18"/>
      <c r="Z975" s="1"/>
      <c r="AA975" s="18">
        <v>5</v>
      </c>
      <c r="AB975" s="13">
        <v>4</v>
      </c>
      <c r="AC975" s="1"/>
      <c r="AD975" s="16"/>
      <c r="AE975" s="18"/>
      <c r="AF975" s="31">
        <f>23+26</f>
        <v>49</v>
      </c>
      <c r="AG975" s="13">
        <v>9</v>
      </c>
      <c r="AH975" s="16">
        <v>3</v>
      </c>
      <c r="AI975" s="1"/>
      <c r="AJ975" s="33">
        <v>19</v>
      </c>
      <c r="AK975" s="1"/>
      <c r="AL975" s="1"/>
      <c r="AM975" s="11"/>
    </row>
    <row r="976" spans="1:39" customFormat="1" x14ac:dyDescent="0.25">
      <c r="A976" s="4">
        <v>44826</v>
      </c>
      <c r="B976" s="1">
        <v>1</v>
      </c>
      <c r="C976" s="1">
        <v>2</v>
      </c>
      <c r="D976" s="14">
        <v>11</v>
      </c>
      <c r="E976" s="1">
        <v>1</v>
      </c>
      <c r="F976" s="1">
        <v>1</v>
      </c>
      <c r="G976" s="1"/>
      <c r="H976" s="18">
        <v>1</v>
      </c>
      <c r="I976" s="1"/>
      <c r="J976" s="16">
        <v>6</v>
      </c>
      <c r="K976" s="22">
        <v>8</v>
      </c>
      <c r="L976" s="13">
        <v>145</v>
      </c>
      <c r="M976" s="18"/>
      <c r="N976" s="12">
        <v>1</v>
      </c>
      <c r="O976" s="18">
        <v>0</v>
      </c>
      <c r="P976" s="16">
        <v>2</v>
      </c>
      <c r="Q976" s="5">
        <f>9+221</f>
        <v>230</v>
      </c>
      <c r="R976" s="1">
        <v>6</v>
      </c>
      <c r="S976" s="18"/>
      <c r="T976" s="18">
        <v>7</v>
      </c>
      <c r="U976" s="1"/>
      <c r="V976" s="1"/>
      <c r="W976" s="1"/>
      <c r="X976" s="14">
        <v>59</v>
      </c>
      <c r="Y976" s="18"/>
      <c r="Z976" s="1">
        <v>2</v>
      </c>
      <c r="AA976" s="18">
        <v>1</v>
      </c>
      <c r="AB976" s="13">
        <v>12</v>
      </c>
      <c r="AC976" s="1"/>
      <c r="AD976" s="16">
        <v>2</v>
      </c>
      <c r="AE976" s="18"/>
      <c r="AF976" s="31">
        <v>60</v>
      </c>
      <c r="AG976" s="13">
        <v>8</v>
      </c>
      <c r="AH976" s="16">
        <v>5</v>
      </c>
      <c r="AI976" s="1"/>
      <c r="AJ976" s="33">
        <v>16</v>
      </c>
      <c r="AK976" s="1"/>
      <c r="AL976" s="1"/>
      <c r="AM976" s="11"/>
    </row>
    <row r="977" spans="1:39" customFormat="1" x14ac:dyDescent="0.25">
      <c r="A977" s="4">
        <v>44827</v>
      </c>
      <c r="B977" s="1">
        <v>3</v>
      </c>
      <c r="C977" s="1"/>
      <c r="D977" s="14">
        <v>6</v>
      </c>
      <c r="E977" s="1"/>
      <c r="F977" s="1"/>
      <c r="G977" s="1"/>
      <c r="H977" s="18">
        <v>1</v>
      </c>
      <c r="I977" s="1"/>
      <c r="J977" s="16">
        <v>2</v>
      </c>
      <c r="K977" s="22">
        <v>5</v>
      </c>
      <c r="L977" s="13">
        <f>32-4+70</f>
        <v>98</v>
      </c>
      <c r="M977" s="18"/>
      <c r="N977" s="12">
        <v>3</v>
      </c>
      <c r="O977" s="18">
        <v>1</v>
      </c>
      <c r="P977" s="16">
        <v>7</v>
      </c>
      <c r="Q977" s="5">
        <f>21-6+209</f>
        <v>224</v>
      </c>
      <c r="R977" s="1">
        <v>2</v>
      </c>
      <c r="S977" s="18"/>
      <c r="T977" s="18">
        <v>4</v>
      </c>
      <c r="U977" s="1"/>
      <c r="V977" s="1"/>
      <c r="W977" s="1"/>
      <c r="X977" s="14">
        <v>121</v>
      </c>
      <c r="Y977" s="18"/>
      <c r="Z977" s="1"/>
      <c r="AA977" s="18">
        <v>0</v>
      </c>
      <c r="AB977" s="13">
        <v>7</v>
      </c>
      <c r="AC977" s="1"/>
      <c r="AD977" s="16">
        <v>1</v>
      </c>
      <c r="AE977" s="18"/>
      <c r="AF977" s="31">
        <f>51-9+51</f>
        <v>93</v>
      </c>
      <c r="AG977" s="13">
        <v>9</v>
      </c>
      <c r="AH977" s="16">
        <v>14</v>
      </c>
      <c r="AI977" s="1">
        <v>5</v>
      </c>
      <c r="AJ977" s="33">
        <v>1</v>
      </c>
      <c r="AK977" s="1"/>
      <c r="AL977" s="1"/>
      <c r="AM977" s="11"/>
    </row>
    <row r="978" spans="1:39" customFormat="1" x14ac:dyDescent="0.25">
      <c r="A978" s="4">
        <v>44828</v>
      </c>
      <c r="B978" s="1">
        <v>2</v>
      </c>
      <c r="C978" s="1"/>
      <c r="D978" s="32">
        <v>12</v>
      </c>
      <c r="E978" s="1"/>
      <c r="F978" s="1">
        <v>2</v>
      </c>
      <c r="G978" s="1"/>
      <c r="H978" s="18">
        <v>3</v>
      </c>
      <c r="I978" s="1"/>
      <c r="J978" s="16">
        <v>4</v>
      </c>
      <c r="K978" s="22">
        <v>2</v>
      </c>
      <c r="L978" s="13">
        <f>82+94</f>
        <v>176</v>
      </c>
      <c r="M978" s="18"/>
      <c r="N978" s="12">
        <v>2</v>
      </c>
      <c r="O978" s="18">
        <v>0</v>
      </c>
      <c r="P978" s="16">
        <v>2</v>
      </c>
      <c r="Q978" s="5">
        <v>173</v>
      </c>
      <c r="R978" s="1"/>
      <c r="S978" s="18"/>
      <c r="T978" s="18">
        <v>5</v>
      </c>
      <c r="U978" s="18">
        <v>1</v>
      </c>
      <c r="V978" s="1"/>
      <c r="W978" s="1"/>
      <c r="X978" s="14">
        <v>172</v>
      </c>
      <c r="Y978" s="18"/>
      <c r="Z978" s="1"/>
      <c r="AA978" s="18">
        <v>0</v>
      </c>
      <c r="AB978" s="13">
        <v>3</v>
      </c>
      <c r="AC978" s="1"/>
      <c r="AD978" s="16">
        <v>4</v>
      </c>
      <c r="AE978" s="18"/>
      <c r="AF978" s="31">
        <f>29+26</f>
        <v>55</v>
      </c>
      <c r="AG978" s="13">
        <v>9</v>
      </c>
      <c r="AH978" s="16">
        <v>1</v>
      </c>
      <c r="AI978" s="1">
        <v>2</v>
      </c>
      <c r="AJ978" s="33">
        <v>0</v>
      </c>
      <c r="AK978" s="1"/>
      <c r="AL978" s="1"/>
      <c r="AM978" s="11"/>
    </row>
    <row r="979" spans="1:39" customFormat="1" x14ac:dyDescent="0.25">
      <c r="A979" s="4">
        <v>44829</v>
      </c>
      <c r="B979" s="1">
        <v>5</v>
      </c>
      <c r="C979" s="1"/>
      <c r="D979" s="32">
        <v>19</v>
      </c>
      <c r="E979" s="1"/>
      <c r="F979" s="1">
        <v>2</v>
      </c>
      <c r="G979" s="1"/>
      <c r="H979" s="18">
        <v>1</v>
      </c>
      <c r="I979" s="1"/>
      <c r="J979" s="16">
        <v>12</v>
      </c>
      <c r="K979" s="22">
        <v>1</v>
      </c>
      <c r="L979" s="13">
        <f>64+97</f>
        <v>161</v>
      </c>
      <c r="M979" s="18"/>
      <c r="N979" s="1"/>
      <c r="O979" s="18">
        <v>1</v>
      </c>
      <c r="P979" s="16">
        <v>2</v>
      </c>
      <c r="Q979" s="5">
        <f>16+141</f>
        <v>157</v>
      </c>
      <c r="R979" s="1"/>
      <c r="S979" s="18"/>
      <c r="T979" s="18">
        <v>1</v>
      </c>
      <c r="U979" s="18">
        <v>3</v>
      </c>
      <c r="V979" s="1"/>
      <c r="W979" s="1"/>
      <c r="X979" s="14">
        <v>186</v>
      </c>
      <c r="Y979" s="18"/>
      <c r="Z979" s="1">
        <v>2</v>
      </c>
      <c r="AA979" s="18">
        <v>17</v>
      </c>
      <c r="AB979" s="36">
        <v>3</v>
      </c>
      <c r="AC979" s="1"/>
      <c r="AD979" s="16">
        <v>4</v>
      </c>
      <c r="AE979" s="18"/>
      <c r="AF979" s="31">
        <v>39</v>
      </c>
      <c r="AG979" s="13">
        <v>8</v>
      </c>
      <c r="AH979" s="16">
        <v>6</v>
      </c>
      <c r="AI979" s="1">
        <v>1</v>
      </c>
      <c r="AJ979" s="33">
        <v>2</v>
      </c>
      <c r="AK979" s="1"/>
      <c r="AL979" s="1"/>
      <c r="AM979" s="11"/>
    </row>
    <row r="980" spans="1:39" customFormat="1" x14ac:dyDescent="0.25">
      <c r="A980" s="4">
        <v>44830</v>
      </c>
      <c r="B980" s="1">
        <v>2</v>
      </c>
      <c r="C980" s="1"/>
      <c r="D980" s="32">
        <v>42</v>
      </c>
      <c r="E980" s="1"/>
      <c r="F980" s="1">
        <v>1</v>
      </c>
      <c r="G980" s="1"/>
      <c r="H980" s="18">
        <v>1</v>
      </c>
      <c r="I980" s="1"/>
      <c r="J980" s="16">
        <v>17</v>
      </c>
      <c r="K980" s="35">
        <v>8</v>
      </c>
      <c r="L980" s="13">
        <v>124</v>
      </c>
      <c r="M980" s="18"/>
      <c r="N980" s="5">
        <v>3</v>
      </c>
      <c r="O980" s="1"/>
      <c r="P980" s="16">
        <v>2</v>
      </c>
      <c r="Q980" s="5">
        <f>21+115</f>
        <v>136</v>
      </c>
      <c r="R980" s="1"/>
      <c r="S980" s="18"/>
      <c r="T980" s="18">
        <v>3</v>
      </c>
      <c r="U980" s="18">
        <v>5</v>
      </c>
      <c r="V980" s="1"/>
      <c r="W980" s="1"/>
      <c r="X980" s="14">
        <v>234</v>
      </c>
      <c r="Y980" s="18"/>
      <c r="Z980" s="1"/>
      <c r="AA980" s="18">
        <v>6</v>
      </c>
      <c r="AB980" s="36">
        <v>4</v>
      </c>
      <c r="AC980" s="1"/>
      <c r="AD980" s="16">
        <v>2</v>
      </c>
      <c r="AE980" s="18"/>
      <c r="AF980" s="31">
        <f>35+21</f>
        <v>56</v>
      </c>
      <c r="AG980" s="13">
        <v>7</v>
      </c>
      <c r="AH980" s="16">
        <v>29</v>
      </c>
      <c r="AI980" s="1">
        <v>1</v>
      </c>
      <c r="AJ980" s="18">
        <v>0</v>
      </c>
      <c r="AK980" s="1"/>
      <c r="AL980" s="1"/>
      <c r="AM980" s="11"/>
    </row>
    <row r="981" spans="1:39" customFormat="1" x14ac:dyDescent="0.25">
      <c r="A981" s="4">
        <v>44831</v>
      </c>
      <c r="B981" s="1">
        <v>4</v>
      </c>
      <c r="C981" s="1"/>
      <c r="D981" s="32">
        <v>55</v>
      </c>
      <c r="E981" s="1"/>
      <c r="F981" s="1">
        <v>1</v>
      </c>
      <c r="G981" s="1"/>
      <c r="H981" s="18">
        <v>1</v>
      </c>
      <c r="I981" s="1"/>
      <c r="J981" s="16">
        <v>5</v>
      </c>
      <c r="K981" s="35">
        <v>6</v>
      </c>
      <c r="L981" s="13">
        <v>127</v>
      </c>
      <c r="M981" s="18"/>
      <c r="N981" s="5">
        <v>1</v>
      </c>
      <c r="O981" s="1"/>
      <c r="P981" s="16">
        <v>5</v>
      </c>
      <c r="Q981" s="5">
        <v>87</v>
      </c>
      <c r="R981" s="1"/>
      <c r="S981" s="18"/>
      <c r="T981" s="1"/>
      <c r="U981" s="18">
        <v>4</v>
      </c>
      <c r="V981" s="1"/>
      <c r="W981" s="1"/>
      <c r="X981" s="14">
        <v>209</v>
      </c>
      <c r="Y981" s="18"/>
      <c r="Z981" s="13">
        <v>1</v>
      </c>
      <c r="AA981" s="18">
        <v>6</v>
      </c>
      <c r="AB981" s="36">
        <v>4</v>
      </c>
      <c r="AC981" s="1"/>
      <c r="AD981" s="16">
        <v>9</v>
      </c>
      <c r="AE981" s="18"/>
      <c r="AF981" s="31">
        <v>29</v>
      </c>
      <c r="AG981" s="16">
        <v>10</v>
      </c>
      <c r="AH981" s="16">
        <v>12</v>
      </c>
      <c r="AI981" s="32">
        <v>1</v>
      </c>
      <c r="AJ981" s="18">
        <v>12</v>
      </c>
      <c r="AK981" s="1"/>
      <c r="AL981" s="1"/>
      <c r="AM981" s="11"/>
    </row>
    <row r="982" spans="1:39" customFormat="1" x14ac:dyDescent="0.25">
      <c r="A982" s="4">
        <v>44832</v>
      </c>
      <c r="B982" s="1">
        <v>5</v>
      </c>
      <c r="C982" s="1"/>
      <c r="D982" s="32">
        <v>39</v>
      </c>
      <c r="E982" s="25">
        <v>1</v>
      </c>
      <c r="F982" s="1"/>
      <c r="G982" s="1"/>
      <c r="H982" s="18">
        <v>5</v>
      </c>
      <c r="I982" s="1"/>
      <c r="J982" s="16">
        <v>20</v>
      </c>
      <c r="K982" s="35">
        <v>8</v>
      </c>
      <c r="L982" s="13">
        <f>34+58</f>
        <v>92</v>
      </c>
      <c r="M982" s="18"/>
      <c r="N982" s="5">
        <v>1</v>
      </c>
      <c r="O982" s="1"/>
      <c r="P982" s="16">
        <v>4</v>
      </c>
      <c r="Q982" s="5">
        <v>82</v>
      </c>
      <c r="R982" s="1"/>
      <c r="S982" s="18"/>
      <c r="T982" s="1">
        <v>1</v>
      </c>
      <c r="U982" s="18">
        <v>4</v>
      </c>
      <c r="V982" s="1"/>
      <c r="W982" s="1"/>
      <c r="X982" s="14">
        <v>191</v>
      </c>
      <c r="Y982" s="18"/>
      <c r="Z982" s="13">
        <v>1</v>
      </c>
      <c r="AA982" s="18">
        <v>0</v>
      </c>
      <c r="AB982" s="36">
        <v>4</v>
      </c>
      <c r="AC982" s="14">
        <v>5</v>
      </c>
      <c r="AD982" s="16">
        <v>5</v>
      </c>
      <c r="AE982" s="18"/>
      <c r="AF982" s="31">
        <v>16</v>
      </c>
      <c r="AG982" s="16">
        <v>10</v>
      </c>
      <c r="AH982" s="16">
        <v>26</v>
      </c>
      <c r="AI982" s="32">
        <v>2</v>
      </c>
      <c r="AJ982" s="18">
        <v>6</v>
      </c>
      <c r="AK982" s="1"/>
      <c r="AL982" s="1"/>
      <c r="AM982" s="11"/>
    </row>
    <row r="983" spans="1:39" customFormat="1" x14ac:dyDescent="0.25">
      <c r="A983" s="4">
        <v>44833</v>
      </c>
      <c r="B983" s="1">
        <v>4</v>
      </c>
      <c r="C983" s="16">
        <v>1</v>
      </c>
      <c r="D983" s="32">
        <v>72</v>
      </c>
      <c r="E983" s="25">
        <v>6</v>
      </c>
      <c r="F983" s="32">
        <v>1</v>
      </c>
      <c r="G983" s="1"/>
      <c r="H983" s="18">
        <v>7</v>
      </c>
      <c r="I983" s="18">
        <v>3</v>
      </c>
      <c r="J983" s="16">
        <v>31</v>
      </c>
      <c r="K983" s="35">
        <v>9</v>
      </c>
      <c r="L983" s="13">
        <v>96</v>
      </c>
      <c r="M983" s="18"/>
      <c r="N983" s="5">
        <v>7</v>
      </c>
      <c r="O983" s="1"/>
      <c r="P983" s="16">
        <v>20</v>
      </c>
      <c r="Q983" s="5">
        <v>66</v>
      </c>
      <c r="R983" s="14">
        <v>3</v>
      </c>
      <c r="S983" s="18"/>
      <c r="T983" s="1">
        <v>11</v>
      </c>
      <c r="U983" s="18">
        <v>1</v>
      </c>
      <c r="V983" s="1"/>
      <c r="W983" s="1"/>
      <c r="X983" s="14">
        <v>176</v>
      </c>
      <c r="Y983" s="18"/>
      <c r="Z983" s="13">
        <v>1</v>
      </c>
      <c r="AA983" s="18">
        <v>4</v>
      </c>
      <c r="AB983" s="36">
        <v>9</v>
      </c>
      <c r="AC983" s="14">
        <v>2</v>
      </c>
      <c r="AD983" s="16">
        <v>17</v>
      </c>
      <c r="AE983" s="18"/>
      <c r="AF983" s="16">
        <v>23</v>
      </c>
      <c r="AG983" s="16">
        <v>28</v>
      </c>
      <c r="AH983" s="16">
        <v>31</v>
      </c>
      <c r="AI983" s="32">
        <v>7</v>
      </c>
      <c r="AJ983" s="18">
        <v>4</v>
      </c>
      <c r="AK983" s="1"/>
      <c r="AL983" s="1"/>
      <c r="AM983" s="11"/>
    </row>
    <row r="984" spans="1:39" customFormat="1" x14ac:dyDescent="0.25">
      <c r="A984" s="4">
        <v>44834</v>
      </c>
      <c r="B984" s="16">
        <v>1</v>
      </c>
      <c r="C984" s="16">
        <v>2</v>
      </c>
      <c r="D984" s="32">
        <v>27</v>
      </c>
      <c r="E984" s="25">
        <v>3</v>
      </c>
      <c r="F984" s="32">
        <v>3</v>
      </c>
      <c r="G984" s="1"/>
      <c r="H984" s="13">
        <v>2</v>
      </c>
      <c r="I984" s="18">
        <v>1</v>
      </c>
      <c r="J984" s="16">
        <v>38</v>
      </c>
      <c r="K984" s="35">
        <v>13</v>
      </c>
      <c r="L984" s="13">
        <v>85</v>
      </c>
      <c r="M984" s="18"/>
      <c r="N984" s="5">
        <v>4</v>
      </c>
      <c r="O984" s="1"/>
      <c r="P984" s="16">
        <v>17</v>
      </c>
      <c r="Q984" s="5">
        <v>32</v>
      </c>
      <c r="R984" s="14">
        <v>4</v>
      </c>
      <c r="S984" s="18"/>
      <c r="T984" s="1">
        <v>3</v>
      </c>
      <c r="U984" s="18">
        <v>1</v>
      </c>
      <c r="V984" s="1"/>
      <c r="W984" s="1"/>
      <c r="X984" s="14">
        <v>168</v>
      </c>
      <c r="Y984" s="18"/>
      <c r="Z984" s="13">
        <v>24</v>
      </c>
      <c r="AA984" s="18">
        <v>1</v>
      </c>
      <c r="AB984" s="36">
        <v>22</v>
      </c>
      <c r="AC984" s="14">
        <v>13</v>
      </c>
      <c r="AD984" s="16">
        <v>5</v>
      </c>
      <c r="AE984" s="18"/>
      <c r="AF984" s="16">
        <v>47</v>
      </c>
      <c r="AG984" s="16">
        <v>30</v>
      </c>
      <c r="AH984" s="16">
        <v>21</v>
      </c>
      <c r="AI984" s="32">
        <v>6</v>
      </c>
      <c r="AJ984" s="18">
        <v>0</v>
      </c>
      <c r="AK984" s="1"/>
      <c r="AL984" s="1"/>
      <c r="AM984" s="11"/>
    </row>
    <row r="985" spans="1:39" customFormat="1" x14ac:dyDescent="0.25">
      <c r="A985" s="4">
        <v>44835</v>
      </c>
      <c r="B985" s="16">
        <v>1</v>
      </c>
      <c r="C985" s="16">
        <v>1</v>
      </c>
      <c r="D985" s="32">
        <v>29</v>
      </c>
      <c r="E985" s="25">
        <v>5</v>
      </c>
      <c r="F985" s="32">
        <v>1</v>
      </c>
      <c r="G985" s="1"/>
      <c r="H985" s="13">
        <v>5</v>
      </c>
      <c r="I985" s="18">
        <v>2</v>
      </c>
      <c r="J985" s="16">
        <v>27</v>
      </c>
      <c r="K985" s="35">
        <v>10</v>
      </c>
      <c r="L985" s="13">
        <v>27</v>
      </c>
      <c r="M985" s="18"/>
      <c r="N985" s="5">
        <v>4</v>
      </c>
      <c r="O985" s="1"/>
      <c r="P985" s="16">
        <v>11</v>
      </c>
      <c r="Q985" s="5">
        <v>15</v>
      </c>
      <c r="R985" s="14">
        <v>3</v>
      </c>
      <c r="S985" s="18"/>
      <c r="T985" s="1">
        <v>9</v>
      </c>
      <c r="U985" s="18">
        <v>2</v>
      </c>
      <c r="V985" s="1"/>
      <c r="W985" s="36">
        <v>1</v>
      </c>
      <c r="X985" s="14">
        <f>156+5</f>
        <v>161</v>
      </c>
      <c r="Y985" s="18"/>
      <c r="Z985" s="13">
        <v>32</v>
      </c>
      <c r="AA985" s="1"/>
      <c r="AB985" s="36">
        <v>14</v>
      </c>
      <c r="AC985" s="14">
        <v>12</v>
      </c>
      <c r="AD985" s="16">
        <v>7</v>
      </c>
      <c r="AE985" s="18"/>
      <c r="AF985" s="16">
        <f>17+27</f>
        <v>44</v>
      </c>
      <c r="AG985" s="16">
        <v>30</v>
      </c>
      <c r="AH985" s="16">
        <v>14</v>
      </c>
      <c r="AI985" s="32">
        <v>4</v>
      </c>
      <c r="AJ985" s="36">
        <v>6</v>
      </c>
      <c r="AK985" s="1"/>
      <c r="AL985" s="1"/>
      <c r="AM985" s="11"/>
    </row>
    <row r="986" spans="1:39" customFormat="1" x14ac:dyDescent="0.25">
      <c r="A986" s="4">
        <v>44836</v>
      </c>
      <c r="B986" s="16">
        <v>5</v>
      </c>
      <c r="C986" s="16">
        <v>3</v>
      </c>
      <c r="D986" s="32">
        <v>21</v>
      </c>
      <c r="E986" s="25">
        <v>4</v>
      </c>
      <c r="F986" s="32">
        <v>4</v>
      </c>
      <c r="G986" s="1"/>
      <c r="H986" s="13">
        <v>4</v>
      </c>
      <c r="I986" s="18">
        <v>4</v>
      </c>
      <c r="J986" s="16">
        <f>19+24</f>
        <v>43</v>
      </c>
      <c r="K986" s="35">
        <v>13</v>
      </c>
      <c r="L986" s="13">
        <f>29+3</f>
        <v>32</v>
      </c>
      <c r="M986" s="18"/>
      <c r="N986" s="5">
        <v>4</v>
      </c>
      <c r="O986" s="1"/>
      <c r="P986" s="16">
        <v>14</v>
      </c>
      <c r="Q986" s="5">
        <v>9</v>
      </c>
      <c r="R986" s="14">
        <v>12</v>
      </c>
      <c r="S986" s="18"/>
      <c r="T986" s="32">
        <v>1</v>
      </c>
      <c r="U986" s="1"/>
      <c r="V986" s="1"/>
      <c r="W986" s="36">
        <v>1</v>
      </c>
      <c r="X986" s="14">
        <f>127+4</f>
        <v>131</v>
      </c>
      <c r="Y986" s="18"/>
      <c r="Z986" s="13">
        <f>80-3+23</f>
        <v>100</v>
      </c>
      <c r="AA986" s="1"/>
      <c r="AB986" s="36">
        <v>11</v>
      </c>
      <c r="AC986" s="14">
        <v>10</v>
      </c>
      <c r="AD986" s="16">
        <v>12</v>
      </c>
      <c r="AE986" s="18"/>
      <c r="AF986" s="16">
        <f>45-7+40</f>
        <v>78</v>
      </c>
      <c r="AG986" s="16">
        <v>33</v>
      </c>
      <c r="AH986" s="16">
        <f>28+5</f>
        <v>33</v>
      </c>
      <c r="AI986" s="32">
        <v>7</v>
      </c>
      <c r="AJ986" s="36">
        <v>4</v>
      </c>
      <c r="AK986" s="1"/>
      <c r="AL986" s="1"/>
      <c r="AM986" s="11"/>
    </row>
    <row r="987" spans="1:39" customFormat="1" x14ac:dyDescent="0.25">
      <c r="A987" s="4">
        <v>44837</v>
      </c>
      <c r="B987" s="16">
        <v>15</v>
      </c>
      <c r="C987" s="16">
        <v>1</v>
      </c>
      <c r="D987" s="32">
        <v>19</v>
      </c>
      <c r="E987" s="25">
        <v>3</v>
      </c>
      <c r="F987" s="32">
        <v>6</v>
      </c>
      <c r="G987" s="1"/>
      <c r="H987" s="13">
        <v>6</v>
      </c>
      <c r="I987" s="18">
        <v>2</v>
      </c>
      <c r="J987" s="16">
        <v>42</v>
      </c>
      <c r="K987" s="35">
        <v>5</v>
      </c>
      <c r="L987" s="13">
        <v>30</v>
      </c>
      <c r="M987" s="18"/>
      <c r="N987" s="5">
        <v>14</v>
      </c>
      <c r="O987" s="18">
        <v>2</v>
      </c>
      <c r="P987" s="16">
        <v>14</v>
      </c>
      <c r="Q987" s="5">
        <v>5</v>
      </c>
      <c r="R987" s="14">
        <v>7</v>
      </c>
      <c r="S987" s="18"/>
      <c r="T987" s="32">
        <v>7</v>
      </c>
      <c r="U987" s="1"/>
      <c r="V987" s="1"/>
      <c r="W987" s="36">
        <v>1</v>
      </c>
      <c r="X987" s="14">
        <v>67</v>
      </c>
      <c r="Y987" s="18"/>
      <c r="Z987" s="13">
        <f>144+226</f>
        <v>370</v>
      </c>
      <c r="AA987" s="1"/>
      <c r="AB987" s="36">
        <v>6</v>
      </c>
      <c r="AC987" s="14">
        <v>17</v>
      </c>
      <c r="AD987" s="16">
        <v>15</v>
      </c>
      <c r="AE987" s="18"/>
      <c r="AF987" s="16">
        <v>38</v>
      </c>
      <c r="AG987" s="16">
        <v>38</v>
      </c>
      <c r="AH987" s="16">
        <v>40</v>
      </c>
      <c r="AI987" s="32">
        <v>21</v>
      </c>
      <c r="AJ987" s="36">
        <v>9</v>
      </c>
      <c r="AK987" s="1"/>
      <c r="AL987" s="1"/>
      <c r="AM987" s="11"/>
    </row>
    <row r="988" spans="1:39" customFormat="1" x14ac:dyDescent="0.25">
      <c r="A988" s="4">
        <v>44838</v>
      </c>
      <c r="B988" s="16">
        <v>40</v>
      </c>
      <c r="C988" s="16">
        <v>3</v>
      </c>
      <c r="D988" s="32">
        <v>59</v>
      </c>
      <c r="E988" s="25">
        <v>6</v>
      </c>
      <c r="F988" s="32">
        <v>24</v>
      </c>
      <c r="G988" s="1"/>
      <c r="H988" s="13">
        <v>5</v>
      </c>
      <c r="I988" s="18">
        <v>0</v>
      </c>
      <c r="J988" s="16">
        <v>52</v>
      </c>
      <c r="K988" s="35">
        <v>4</v>
      </c>
      <c r="L988" s="13">
        <v>17</v>
      </c>
      <c r="M988" s="18"/>
      <c r="N988" s="5">
        <v>13</v>
      </c>
      <c r="O988" s="18">
        <v>0</v>
      </c>
      <c r="P988" s="16">
        <v>14</v>
      </c>
      <c r="Q988" s="5">
        <v>5</v>
      </c>
      <c r="R988" s="14">
        <v>14</v>
      </c>
      <c r="S988" s="18"/>
      <c r="T988" s="32">
        <v>12</v>
      </c>
      <c r="U988" s="1"/>
      <c r="V988" s="13">
        <v>1</v>
      </c>
      <c r="W988" s="36">
        <v>1</v>
      </c>
      <c r="X988" s="14">
        <v>36</v>
      </c>
      <c r="Y988" s="18"/>
      <c r="Z988" s="13">
        <v>273</v>
      </c>
      <c r="AA988" s="1"/>
      <c r="AB988" s="36">
        <v>7</v>
      </c>
      <c r="AC988" s="14">
        <v>13</v>
      </c>
      <c r="AD988" s="16">
        <v>21</v>
      </c>
      <c r="AE988" s="18"/>
      <c r="AF988" s="16">
        <f>19+34</f>
        <v>53</v>
      </c>
      <c r="AG988" s="16">
        <v>91</v>
      </c>
      <c r="AH988" s="16">
        <v>71</v>
      </c>
      <c r="AI988" s="32">
        <v>14</v>
      </c>
      <c r="AJ988" s="36">
        <v>18</v>
      </c>
      <c r="AK988" s="1"/>
      <c r="AL988" s="1"/>
      <c r="AM988" s="11"/>
    </row>
    <row r="989" spans="1:39" customFormat="1" x14ac:dyDescent="0.25">
      <c r="A989" s="4">
        <v>44839</v>
      </c>
      <c r="B989" s="16">
        <v>22</v>
      </c>
      <c r="C989" s="16">
        <v>3</v>
      </c>
      <c r="D989" s="32">
        <v>60</v>
      </c>
      <c r="E989" s="25">
        <v>11</v>
      </c>
      <c r="F989" s="32">
        <f>12+24</f>
        <v>36</v>
      </c>
      <c r="G989" s="1"/>
      <c r="H989" s="13">
        <v>7</v>
      </c>
      <c r="I989" s="18">
        <v>1</v>
      </c>
      <c r="J989" s="16">
        <f>29+27</f>
        <v>56</v>
      </c>
      <c r="K989" s="35">
        <v>9</v>
      </c>
      <c r="L989" s="13">
        <v>12</v>
      </c>
      <c r="M989" s="18"/>
      <c r="N989" s="5">
        <v>10</v>
      </c>
      <c r="O989" s="18">
        <v>2</v>
      </c>
      <c r="P989" s="16">
        <v>25</v>
      </c>
      <c r="Q989" s="5">
        <v>11</v>
      </c>
      <c r="R989" s="14">
        <v>8</v>
      </c>
      <c r="S989" s="18"/>
      <c r="T989" s="32">
        <v>2</v>
      </c>
      <c r="U989" s="1">
        <v>3</v>
      </c>
      <c r="V989" s="13">
        <v>7</v>
      </c>
      <c r="W989" s="36">
        <v>6</v>
      </c>
      <c r="X989" s="14">
        <v>35</v>
      </c>
      <c r="Y989" s="18"/>
      <c r="Z989" s="13">
        <f>12+445</f>
        <v>457</v>
      </c>
      <c r="AA989" s="1"/>
      <c r="AB989" s="29">
        <v>9</v>
      </c>
      <c r="AC989" s="14">
        <v>12</v>
      </c>
      <c r="AD989" s="16">
        <v>33</v>
      </c>
      <c r="AE989" s="18"/>
      <c r="AF989" s="16">
        <f>21+43</f>
        <v>64</v>
      </c>
      <c r="AG989" s="16">
        <v>97</v>
      </c>
      <c r="AH989" s="16">
        <v>35</v>
      </c>
      <c r="AI989" s="32">
        <v>19</v>
      </c>
      <c r="AJ989" s="36">
        <v>46</v>
      </c>
      <c r="AK989" s="1"/>
      <c r="AL989" s="1"/>
      <c r="AM989" s="11"/>
    </row>
    <row r="990" spans="1:39" customFormat="1" x14ac:dyDescent="0.25">
      <c r="A990" s="4">
        <v>44840</v>
      </c>
      <c r="B990" s="16">
        <v>24</v>
      </c>
      <c r="C990" s="16">
        <v>3</v>
      </c>
      <c r="D990" s="32">
        <v>15</v>
      </c>
      <c r="E990" s="25">
        <v>18</v>
      </c>
      <c r="F990" s="32">
        <v>49</v>
      </c>
      <c r="G990" s="1"/>
      <c r="H990" s="13">
        <v>7</v>
      </c>
      <c r="I990" s="18">
        <v>1</v>
      </c>
      <c r="J990" s="16">
        <v>68</v>
      </c>
      <c r="K990" s="35">
        <v>13</v>
      </c>
      <c r="L990" s="13">
        <v>14</v>
      </c>
      <c r="M990" s="18"/>
      <c r="N990" s="5">
        <v>15</v>
      </c>
      <c r="O990" s="18">
        <v>9</v>
      </c>
      <c r="P990" s="16">
        <v>22</v>
      </c>
      <c r="Q990" s="5">
        <v>13</v>
      </c>
      <c r="R990" s="14">
        <v>26</v>
      </c>
      <c r="S990" s="18"/>
      <c r="T990" s="32">
        <v>16</v>
      </c>
      <c r="U990" s="1"/>
      <c r="V990" s="13">
        <v>7</v>
      </c>
      <c r="W990" s="36">
        <v>2</v>
      </c>
      <c r="X990" s="14">
        <v>32</v>
      </c>
      <c r="Y990" s="18"/>
      <c r="Z990" s="13">
        <v>668</v>
      </c>
      <c r="AA990" s="1">
        <v>1</v>
      </c>
      <c r="AB990" s="29">
        <v>10</v>
      </c>
      <c r="AC990" s="14">
        <v>29</v>
      </c>
      <c r="AD990" s="16">
        <v>50</v>
      </c>
      <c r="AE990" s="18"/>
      <c r="AF990" s="16">
        <v>77</v>
      </c>
      <c r="AG990" s="16">
        <v>96</v>
      </c>
      <c r="AH990" s="16">
        <f>18+26</f>
        <v>44</v>
      </c>
      <c r="AI990" s="32">
        <v>15</v>
      </c>
      <c r="AJ990" s="36">
        <v>56</v>
      </c>
      <c r="AK990" s="1"/>
      <c r="AL990" s="1"/>
      <c r="AM990" s="11"/>
    </row>
    <row r="991" spans="1:39" customFormat="1" x14ac:dyDescent="0.25">
      <c r="A991" s="4">
        <v>44841</v>
      </c>
      <c r="B991" s="16">
        <v>26</v>
      </c>
      <c r="C991" s="16">
        <v>3</v>
      </c>
      <c r="D991" s="32">
        <v>8</v>
      </c>
      <c r="E991" s="25">
        <v>23</v>
      </c>
      <c r="F991" s="32">
        <v>36</v>
      </c>
      <c r="G991" s="1"/>
      <c r="H991" s="13">
        <v>9</v>
      </c>
      <c r="I991" s="18">
        <v>3</v>
      </c>
      <c r="J991" s="16">
        <f>39+27</f>
        <v>66</v>
      </c>
      <c r="K991" s="35">
        <v>13</v>
      </c>
      <c r="L991" s="13">
        <v>8</v>
      </c>
      <c r="M991" s="18"/>
      <c r="N991" s="5">
        <v>52</v>
      </c>
      <c r="O991" s="18">
        <v>3</v>
      </c>
      <c r="P991" s="16">
        <v>24</v>
      </c>
      <c r="Q991" s="5">
        <v>6</v>
      </c>
      <c r="R991" s="14">
        <v>11</v>
      </c>
      <c r="S991" s="18"/>
      <c r="T991" s="32">
        <v>14</v>
      </c>
      <c r="U991" s="1">
        <v>2</v>
      </c>
      <c r="V991" s="13">
        <v>9</v>
      </c>
      <c r="W991" s="36">
        <v>5</v>
      </c>
      <c r="X991" s="14">
        <v>37</v>
      </c>
      <c r="Y991" s="18"/>
      <c r="Z991" s="13">
        <f>119+386</f>
        <v>505</v>
      </c>
      <c r="AA991" s="1"/>
      <c r="AB991" s="29">
        <v>12</v>
      </c>
      <c r="AC991" s="14">
        <v>55</v>
      </c>
      <c r="AD991" s="16">
        <f>14+29</f>
        <v>43</v>
      </c>
      <c r="AE991" s="18"/>
      <c r="AF991" s="16">
        <f>29+47</f>
        <v>76</v>
      </c>
      <c r="AG991" s="16">
        <v>348</v>
      </c>
      <c r="AH991" s="16">
        <v>38</v>
      </c>
      <c r="AI991" s="32">
        <v>7</v>
      </c>
      <c r="AJ991" s="36">
        <v>108</v>
      </c>
      <c r="AK991" s="1"/>
      <c r="AL991" s="1"/>
      <c r="AM991" s="11"/>
    </row>
    <row r="992" spans="1:39" customFormat="1" x14ac:dyDescent="0.25">
      <c r="A992" s="4">
        <v>44842</v>
      </c>
      <c r="B992" s="16">
        <v>17</v>
      </c>
      <c r="C992" s="16">
        <v>8</v>
      </c>
      <c r="D992" s="32">
        <v>4</v>
      </c>
      <c r="E992" s="25">
        <v>21</v>
      </c>
      <c r="F992" s="32">
        <v>19</v>
      </c>
      <c r="G992" s="1"/>
      <c r="H992" s="13">
        <v>23</v>
      </c>
      <c r="I992" s="18">
        <v>4</v>
      </c>
      <c r="J992" s="16">
        <v>48</v>
      </c>
      <c r="K992" s="35">
        <v>3</v>
      </c>
      <c r="L992" s="13">
        <v>17</v>
      </c>
      <c r="M992" s="18"/>
      <c r="N992" s="5">
        <v>61</v>
      </c>
      <c r="O992" s="18">
        <v>8</v>
      </c>
      <c r="P992" s="16">
        <v>37</v>
      </c>
      <c r="Q992" s="5">
        <v>7</v>
      </c>
      <c r="R992" s="14">
        <v>20</v>
      </c>
      <c r="S992" s="18"/>
      <c r="T992" s="32">
        <v>12</v>
      </c>
      <c r="U992" s="1"/>
      <c r="V992" s="13">
        <v>7</v>
      </c>
      <c r="W992" s="36">
        <v>23</v>
      </c>
      <c r="X992" s="14">
        <v>35</v>
      </c>
      <c r="Y992" s="18"/>
      <c r="Z992" s="13">
        <f>136+424</f>
        <v>560</v>
      </c>
      <c r="AA992" s="1"/>
      <c r="AB992" s="29">
        <v>8</v>
      </c>
      <c r="AC992" s="14">
        <v>35</v>
      </c>
      <c r="AD992" s="16">
        <v>49</v>
      </c>
      <c r="AE992" s="18"/>
      <c r="AF992" s="16">
        <f>17+45</f>
        <v>62</v>
      </c>
      <c r="AG992" s="16">
        <f>53+383</f>
        <v>436</v>
      </c>
      <c r="AH992" s="16">
        <v>47</v>
      </c>
      <c r="AI992" s="32">
        <v>10</v>
      </c>
      <c r="AJ992" s="36">
        <v>31</v>
      </c>
      <c r="AK992" s="1"/>
      <c r="AL992" s="1"/>
      <c r="AM992" s="11"/>
    </row>
    <row r="993" spans="1:39" customFormat="1" x14ac:dyDescent="0.25">
      <c r="A993" s="4">
        <v>44843</v>
      </c>
      <c r="B993" s="16">
        <v>19</v>
      </c>
      <c r="C993" s="16">
        <v>14</v>
      </c>
      <c r="D993" s="1"/>
      <c r="E993" s="25">
        <v>34</v>
      </c>
      <c r="F993" s="32">
        <v>25</v>
      </c>
      <c r="G993" s="1"/>
      <c r="H993" s="13">
        <v>41</v>
      </c>
      <c r="I993" s="18">
        <v>7</v>
      </c>
      <c r="J993" s="16">
        <f>24+27</f>
        <v>51</v>
      </c>
      <c r="K993" s="35">
        <v>4</v>
      </c>
      <c r="L993" s="13">
        <v>8</v>
      </c>
      <c r="M993" s="18"/>
      <c r="N993" s="5">
        <v>68</v>
      </c>
      <c r="O993" s="18">
        <v>3</v>
      </c>
      <c r="P993" s="16">
        <f>9+45</f>
        <v>54</v>
      </c>
      <c r="Q993" s="5">
        <v>2</v>
      </c>
      <c r="R993" s="14">
        <v>22</v>
      </c>
      <c r="S993" s="18"/>
      <c r="T993" s="32">
        <v>20</v>
      </c>
      <c r="U993" s="1">
        <v>4</v>
      </c>
      <c r="V993" s="13">
        <v>5</v>
      </c>
      <c r="W993" s="36">
        <v>30</v>
      </c>
      <c r="X993" s="14">
        <v>52</v>
      </c>
      <c r="Y993" s="18"/>
      <c r="Z993" s="13">
        <f>93+559</f>
        <v>652</v>
      </c>
      <c r="AA993" s="1"/>
      <c r="AB993" s="29">
        <v>13</v>
      </c>
      <c r="AC993" s="14">
        <v>38</v>
      </c>
      <c r="AD993" s="16">
        <v>26</v>
      </c>
      <c r="AE993" s="18"/>
      <c r="AF993" s="16">
        <f>9+76</f>
        <v>85</v>
      </c>
      <c r="AG993" s="16">
        <f>65+376</f>
        <v>441</v>
      </c>
      <c r="AH993" s="16">
        <f>26+49</f>
        <v>75</v>
      </c>
      <c r="AI993" s="32">
        <v>9</v>
      </c>
      <c r="AJ993" s="36">
        <v>48</v>
      </c>
      <c r="AK993" s="1"/>
      <c r="AL993" s="1"/>
      <c r="AM993" s="11"/>
    </row>
    <row r="994" spans="1:39" customFormat="1" x14ac:dyDescent="0.25">
      <c r="A994" s="4">
        <v>44844</v>
      </c>
      <c r="B994" s="16">
        <f>4-2+23</f>
        <v>25</v>
      </c>
      <c r="C994" s="16">
        <v>14</v>
      </c>
      <c r="D994" s="16">
        <v>7</v>
      </c>
      <c r="E994" s="25">
        <v>28</v>
      </c>
      <c r="F994" s="32">
        <v>45</v>
      </c>
      <c r="G994" s="1"/>
      <c r="H994" s="13">
        <v>21</v>
      </c>
      <c r="I994" s="18">
        <v>4</v>
      </c>
      <c r="J994" s="16">
        <f>38-10+25</f>
        <v>53</v>
      </c>
      <c r="K994" s="35">
        <v>5</v>
      </c>
      <c r="L994" s="13">
        <v>7</v>
      </c>
      <c r="M994" s="18"/>
      <c r="N994" s="5">
        <v>55</v>
      </c>
      <c r="O994" s="18">
        <v>0</v>
      </c>
      <c r="P994" s="16">
        <f>12-6+26</f>
        <v>32</v>
      </c>
      <c r="Q994" s="15">
        <v>6</v>
      </c>
      <c r="R994" s="14">
        <v>18</v>
      </c>
      <c r="S994" s="18"/>
      <c r="T994" s="32">
        <v>18</v>
      </c>
      <c r="U994" s="1"/>
      <c r="V994" s="13">
        <v>14</v>
      </c>
      <c r="W994" s="36">
        <f>11-4+18</f>
        <v>25</v>
      </c>
      <c r="X994" s="14">
        <v>48</v>
      </c>
      <c r="Y994" s="18"/>
      <c r="Z994" s="13">
        <f>145-47+637</f>
        <v>735</v>
      </c>
      <c r="AA994" s="1"/>
      <c r="AB994" s="29">
        <v>18</v>
      </c>
      <c r="AC994" s="14">
        <v>37</v>
      </c>
      <c r="AD994" s="16">
        <v>24</v>
      </c>
      <c r="AE994" s="18"/>
      <c r="AF994" s="16">
        <f>11+177</f>
        <v>188</v>
      </c>
      <c r="AG994" s="16">
        <f>82-4+375</f>
        <v>453</v>
      </c>
      <c r="AH994" s="16">
        <v>47</v>
      </c>
      <c r="AI994" s="32">
        <v>8</v>
      </c>
      <c r="AJ994" s="36">
        <v>29</v>
      </c>
      <c r="AK994" s="1"/>
      <c r="AL994" s="1"/>
      <c r="AM994" s="11"/>
    </row>
    <row r="995" spans="1:39" customFormat="1" x14ac:dyDescent="0.25">
      <c r="A995" s="4">
        <v>44845</v>
      </c>
      <c r="B995" s="16">
        <v>25</v>
      </c>
      <c r="C995" s="16">
        <v>11</v>
      </c>
      <c r="D995" s="16">
        <v>4</v>
      </c>
      <c r="E995" s="25">
        <v>38</v>
      </c>
      <c r="F995" s="32">
        <f>15+27</f>
        <v>42</v>
      </c>
      <c r="G995" s="1"/>
      <c r="H995" s="13">
        <v>26</v>
      </c>
      <c r="I995" s="18">
        <v>1</v>
      </c>
      <c r="J995" s="16">
        <v>51</v>
      </c>
      <c r="K995" s="35">
        <v>1</v>
      </c>
      <c r="L995" s="13">
        <v>2</v>
      </c>
      <c r="M995" s="18"/>
      <c r="N995" s="5">
        <v>40</v>
      </c>
      <c r="O995" s="18">
        <v>2</v>
      </c>
      <c r="P995" s="16">
        <f>13+45</f>
        <v>58</v>
      </c>
      <c r="Q995" s="15">
        <v>19</v>
      </c>
      <c r="R995" s="14">
        <v>21</v>
      </c>
      <c r="S995" s="18"/>
      <c r="T995" s="32">
        <v>16</v>
      </c>
      <c r="U995" s="1"/>
      <c r="V995" s="13">
        <v>10</v>
      </c>
      <c r="W995" s="36">
        <v>42</v>
      </c>
      <c r="X995" s="14">
        <v>45</v>
      </c>
      <c r="Y995" s="18"/>
      <c r="Z995" s="13">
        <f>35+463</f>
        <v>498</v>
      </c>
      <c r="AA995" s="1"/>
      <c r="AB995" s="29">
        <v>18</v>
      </c>
      <c r="AC995" s="14">
        <f>77+57</f>
        <v>134</v>
      </c>
      <c r="AD995" s="16">
        <v>35</v>
      </c>
      <c r="AE995" s="18"/>
      <c r="AF995" s="16">
        <v>43</v>
      </c>
      <c r="AG995" s="16">
        <f>57+379</f>
        <v>436</v>
      </c>
      <c r="AH995" s="16">
        <f>4+48</f>
        <v>52</v>
      </c>
      <c r="AI995" s="32">
        <v>6</v>
      </c>
      <c r="AJ995" s="36">
        <v>9</v>
      </c>
      <c r="AK995" s="1"/>
      <c r="AL995" s="1"/>
      <c r="AM995" s="11"/>
    </row>
    <row r="996" spans="1:39" customFormat="1" x14ac:dyDescent="0.25">
      <c r="A996" s="4">
        <v>44846</v>
      </c>
      <c r="B996" s="16">
        <v>27</v>
      </c>
      <c r="C996" s="16">
        <v>18</v>
      </c>
      <c r="D996" s="16">
        <v>1</v>
      </c>
      <c r="E996" s="25">
        <v>47</v>
      </c>
      <c r="F996" s="32">
        <v>28</v>
      </c>
      <c r="G996" s="1"/>
      <c r="H996" s="13">
        <v>23</v>
      </c>
      <c r="I996" s="18">
        <v>3</v>
      </c>
      <c r="J996" s="16">
        <v>47</v>
      </c>
      <c r="K996" s="35">
        <v>2</v>
      </c>
      <c r="L996" s="13">
        <v>2</v>
      </c>
      <c r="M996" s="18"/>
      <c r="N996" s="5">
        <v>25</v>
      </c>
      <c r="O996" s="18">
        <v>1</v>
      </c>
      <c r="P996" s="16">
        <v>35</v>
      </c>
      <c r="Q996" s="15">
        <v>11</v>
      </c>
      <c r="R996" s="14">
        <v>9</v>
      </c>
      <c r="S996" s="18"/>
      <c r="T996" s="32">
        <v>18</v>
      </c>
      <c r="U996" s="1"/>
      <c r="V996" s="13">
        <v>8</v>
      </c>
      <c r="W996" s="36">
        <f>29+19</f>
        <v>48</v>
      </c>
      <c r="X996" s="14">
        <v>55</v>
      </c>
      <c r="Y996" s="18"/>
      <c r="Z996" s="13">
        <f>40+276</f>
        <v>316</v>
      </c>
      <c r="AA996" s="1"/>
      <c r="AB996" s="29">
        <v>25</v>
      </c>
      <c r="AC996" s="14">
        <v>91</v>
      </c>
      <c r="AD996" s="16">
        <v>25</v>
      </c>
      <c r="AE996" s="18"/>
      <c r="AF996" s="16">
        <v>46</v>
      </c>
      <c r="AG996" s="16">
        <f>62+339</f>
        <v>401</v>
      </c>
      <c r="AH996" s="16">
        <v>57</v>
      </c>
      <c r="AI996" s="14">
        <v>3</v>
      </c>
      <c r="AJ996" s="16">
        <v>15</v>
      </c>
      <c r="AK996" s="1"/>
      <c r="AL996" s="1"/>
      <c r="AM996" s="11"/>
    </row>
    <row r="997" spans="1:39" customFormat="1" x14ac:dyDescent="0.25">
      <c r="A997" s="4">
        <v>44847</v>
      </c>
      <c r="B997" s="16">
        <v>32</v>
      </c>
      <c r="C997" s="16">
        <v>21</v>
      </c>
      <c r="D997" s="16">
        <v>7</v>
      </c>
      <c r="E997" s="25">
        <v>49</v>
      </c>
      <c r="F997" s="32">
        <v>22</v>
      </c>
      <c r="G997" s="1"/>
      <c r="H997" s="13">
        <v>42</v>
      </c>
      <c r="I997" s="18">
        <v>0</v>
      </c>
      <c r="J997" s="16">
        <v>61</v>
      </c>
      <c r="K997" s="1"/>
      <c r="L997" s="1"/>
      <c r="M997" s="18"/>
      <c r="N997" s="5">
        <v>7</v>
      </c>
      <c r="O997" s="18">
        <v>0</v>
      </c>
      <c r="P997" s="16">
        <v>15</v>
      </c>
      <c r="Q997" s="15">
        <f>11+51</f>
        <v>62</v>
      </c>
      <c r="R997" s="14">
        <v>7</v>
      </c>
      <c r="S997" s="18"/>
      <c r="T997" s="32">
        <v>4</v>
      </c>
      <c r="U997" s="1">
        <v>1</v>
      </c>
      <c r="V997" s="13">
        <v>32</v>
      </c>
      <c r="W997" s="36">
        <v>33</v>
      </c>
      <c r="X997" s="14">
        <v>26</v>
      </c>
      <c r="Y997" s="18"/>
      <c r="Z997" s="13">
        <f>43+181</f>
        <v>224</v>
      </c>
      <c r="AA997" s="1"/>
      <c r="AB997" s="29">
        <v>28</v>
      </c>
      <c r="AC997" s="14">
        <f>11+53</f>
        <v>64</v>
      </c>
      <c r="AD997" s="16">
        <v>25</v>
      </c>
      <c r="AE997" s="18"/>
      <c r="AF997" s="16">
        <f>7+29</f>
        <v>36</v>
      </c>
      <c r="AG997" s="16">
        <f>27+302</f>
        <v>329</v>
      </c>
      <c r="AH997" s="16">
        <f>8+50</f>
        <v>58</v>
      </c>
      <c r="AI997" s="14">
        <v>3</v>
      </c>
      <c r="AJ997" s="16">
        <v>22</v>
      </c>
      <c r="AK997" s="1"/>
      <c r="AL997" s="1"/>
      <c r="AM997" s="11"/>
    </row>
    <row r="998" spans="1:39" customFormat="1" x14ac:dyDescent="0.25">
      <c r="A998" s="4">
        <v>44848</v>
      </c>
      <c r="B998" s="16">
        <v>29</v>
      </c>
      <c r="C998" s="16">
        <v>9</v>
      </c>
      <c r="D998" s="16">
        <v>7</v>
      </c>
      <c r="E998" s="25">
        <v>42</v>
      </c>
      <c r="F998" s="32">
        <v>29</v>
      </c>
      <c r="G998" s="1"/>
      <c r="H998" s="13">
        <v>22</v>
      </c>
      <c r="I998" s="18">
        <v>2</v>
      </c>
      <c r="J998" s="16">
        <f>57+29</f>
        <v>86</v>
      </c>
      <c r="K998" s="25">
        <v>1</v>
      </c>
      <c r="L998" s="34">
        <v>7</v>
      </c>
      <c r="M998" s="18"/>
      <c r="N998" s="5">
        <v>3</v>
      </c>
      <c r="O998" s="18">
        <v>0</v>
      </c>
      <c r="P998" s="16">
        <v>17</v>
      </c>
      <c r="Q998" s="15">
        <v>65</v>
      </c>
      <c r="R998" s="16">
        <v>7</v>
      </c>
      <c r="S998" s="18"/>
      <c r="T998" s="1">
        <v>7</v>
      </c>
      <c r="U998" s="1"/>
      <c r="V998" s="13">
        <v>21</v>
      </c>
      <c r="W998" s="36">
        <f>8+15</f>
        <v>23</v>
      </c>
      <c r="X998" s="14">
        <v>18</v>
      </c>
      <c r="Y998" s="18"/>
      <c r="Z998" s="13">
        <f>33+111</f>
        <v>144</v>
      </c>
      <c r="AA998" s="1"/>
      <c r="AB998" s="29">
        <v>13</v>
      </c>
      <c r="AC998" s="14">
        <v>39</v>
      </c>
      <c r="AD998" s="16">
        <f>6+25</f>
        <v>31</v>
      </c>
      <c r="AE998" s="18"/>
      <c r="AF998" s="16">
        <v>58</v>
      </c>
      <c r="AG998" s="16">
        <f>34+337</f>
        <v>371</v>
      </c>
      <c r="AH998" s="16">
        <v>34</v>
      </c>
      <c r="AI998" s="14">
        <v>9</v>
      </c>
      <c r="AJ998" s="16">
        <v>38</v>
      </c>
      <c r="AK998" s="1"/>
      <c r="AL998" s="1"/>
      <c r="AM998" s="11"/>
    </row>
    <row r="999" spans="1:39" customFormat="1" x14ac:dyDescent="0.25">
      <c r="A999" s="4">
        <v>44849</v>
      </c>
      <c r="B999" s="16">
        <v>27</v>
      </c>
      <c r="C999" s="16">
        <v>19</v>
      </c>
      <c r="D999" s="16">
        <v>9</v>
      </c>
      <c r="E999" s="25">
        <v>28</v>
      </c>
      <c r="F999" s="32">
        <v>11</v>
      </c>
      <c r="G999" s="1"/>
      <c r="H999" s="13">
        <v>20</v>
      </c>
      <c r="I999" s="1"/>
      <c r="J999" s="16">
        <v>59</v>
      </c>
      <c r="K999" s="25">
        <v>3</v>
      </c>
      <c r="L999" s="34">
        <v>9</v>
      </c>
      <c r="M999" s="18"/>
      <c r="N999" s="5">
        <v>5</v>
      </c>
      <c r="O999" s="18">
        <v>1</v>
      </c>
      <c r="P999" s="16">
        <v>24</v>
      </c>
      <c r="Q999" s="15">
        <v>10</v>
      </c>
      <c r="R999" s="16">
        <v>10</v>
      </c>
      <c r="S999" s="18"/>
      <c r="T999" s="32">
        <v>3</v>
      </c>
      <c r="U999" s="1">
        <v>1</v>
      </c>
      <c r="V999" s="13">
        <v>9</v>
      </c>
      <c r="W999" s="36">
        <v>10</v>
      </c>
      <c r="X999" s="14">
        <v>9</v>
      </c>
      <c r="Y999" s="18"/>
      <c r="Z999" s="13">
        <f>13+43</f>
        <v>56</v>
      </c>
      <c r="AA999" s="1"/>
      <c r="AB999" s="29">
        <v>6</v>
      </c>
      <c r="AC999" s="14">
        <f>25+19</f>
        <v>44</v>
      </c>
      <c r="AD999" s="16">
        <v>37</v>
      </c>
      <c r="AE999" s="18"/>
      <c r="AF999" s="16">
        <v>40</v>
      </c>
      <c r="AG999" s="16">
        <f>22+271</f>
        <v>293</v>
      </c>
      <c r="AH999" s="16">
        <v>31</v>
      </c>
      <c r="AI999" s="14">
        <v>17</v>
      </c>
      <c r="AJ999" s="16">
        <v>29</v>
      </c>
      <c r="AK999" s="1"/>
      <c r="AL999" s="1"/>
      <c r="AM999" s="11"/>
    </row>
    <row r="1000" spans="1:39" customFormat="1" x14ac:dyDescent="0.25">
      <c r="A1000" s="4">
        <v>44850</v>
      </c>
      <c r="B1000" s="16">
        <v>29</v>
      </c>
      <c r="C1000" s="16">
        <v>13</v>
      </c>
      <c r="D1000" s="16">
        <v>16</v>
      </c>
      <c r="E1000" s="25">
        <v>32</v>
      </c>
      <c r="F1000" s="32">
        <v>14</v>
      </c>
      <c r="G1000" s="1"/>
      <c r="H1000" s="13">
        <v>10</v>
      </c>
      <c r="I1000" s="1"/>
      <c r="J1000" s="16">
        <f>23+38</f>
        <v>61</v>
      </c>
      <c r="K1000" s="25">
        <v>2</v>
      </c>
      <c r="L1000" s="34">
        <v>8</v>
      </c>
      <c r="M1000" s="18"/>
      <c r="N1000" s="5">
        <v>2</v>
      </c>
      <c r="O1000" s="1"/>
      <c r="P1000" s="16">
        <v>14</v>
      </c>
      <c r="Q1000" s="15">
        <v>8</v>
      </c>
      <c r="R1000" s="16">
        <v>16</v>
      </c>
      <c r="S1000" s="18"/>
      <c r="T1000" s="32">
        <v>12</v>
      </c>
      <c r="U1000" s="1"/>
      <c r="V1000" s="13">
        <v>1</v>
      </c>
      <c r="W1000" s="36">
        <v>8</v>
      </c>
      <c r="X1000" s="14">
        <v>7</v>
      </c>
      <c r="Y1000" s="18"/>
      <c r="Z1000" s="13">
        <v>39</v>
      </c>
      <c r="AA1000" s="1"/>
      <c r="AB1000" s="16">
        <v>8</v>
      </c>
      <c r="AC1000" s="14">
        <f>37+19</f>
        <v>56</v>
      </c>
      <c r="AD1000" s="16">
        <f>9+23</f>
        <v>32</v>
      </c>
      <c r="AE1000" s="18"/>
      <c r="AF1000" s="16">
        <v>34</v>
      </c>
      <c r="AG1000" s="16">
        <f>13+175</f>
        <v>188</v>
      </c>
      <c r="AH1000" s="16">
        <v>35</v>
      </c>
      <c r="AI1000" s="14">
        <v>21</v>
      </c>
      <c r="AJ1000" s="16">
        <v>23</v>
      </c>
      <c r="AK1000" s="1"/>
      <c r="AL1000" s="1"/>
      <c r="AM1000" s="11"/>
    </row>
    <row r="1001" spans="1:39" customFormat="1" x14ac:dyDescent="0.25">
      <c r="A1001" s="4">
        <v>44851</v>
      </c>
      <c r="B1001" s="16">
        <v>28</v>
      </c>
      <c r="C1001" s="16">
        <v>15</v>
      </c>
      <c r="D1001" s="16">
        <v>8</v>
      </c>
      <c r="E1001" s="25">
        <v>15</v>
      </c>
      <c r="F1001" s="32">
        <v>10</v>
      </c>
      <c r="G1001" s="1"/>
      <c r="H1001" s="13">
        <v>6</v>
      </c>
      <c r="I1001" s="1"/>
      <c r="J1001" s="16">
        <f>36+61</f>
        <v>97</v>
      </c>
      <c r="K1001" s="25">
        <v>11</v>
      </c>
      <c r="L1001" s="34">
        <v>6</v>
      </c>
      <c r="M1001" s="18"/>
      <c r="N1001" s="16">
        <v>11</v>
      </c>
      <c r="O1001" s="1"/>
      <c r="P1001" s="16">
        <v>13</v>
      </c>
      <c r="Q1001" s="15">
        <v>8</v>
      </c>
      <c r="R1001" s="16">
        <f>16+43</f>
        <v>59</v>
      </c>
      <c r="S1001" s="18"/>
      <c r="T1001" s="32">
        <v>13</v>
      </c>
      <c r="U1001" s="1"/>
      <c r="V1001" s="13">
        <v>3</v>
      </c>
      <c r="W1001" s="36">
        <v>6</v>
      </c>
      <c r="X1001" s="14">
        <v>5</v>
      </c>
      <c r="Y1001" s="18"/>
      <c r="Z1001" s="16">
        <v>46</v>
      </c>
      <c r="AA1001" s="1"/>
      <c r="AB1001" s="16">
        <v>10</v>
      </c>
      <c r="AC1001" s="14">
        <v>72</v>
      </c>
      <c r="AD1001" s="16">
        <v>36</v>
      </c>
      <c r="AE1001" s="18"/>
      <c r="AF1001" s="16">
        <v>44</v>
      </c>
      <c r="AG1001" s="16">
        <f>8+133</f>
        <v>141</v>
      </c>
      <c r="AH1001" s="16">
        <v>33</v>
      </c>
      <c r="AI1001" s="14">
        <v>34</v>
      </c>
      <c r="AJ1001" s="16">
        <v>37</v>
      </c>
      <c r="AK1001" s="1"/>
      <c r="AL1001" s="1"/>
      <c r="AM1001" s="11"/>
    </row>
    <row r="1002" spans="1:39" customFormat="1" x14ac:dyDescent="0.25">
      <c r="A1002" s="4">
        <v>44852</v>
      </c>
      <c r="B1002" s="16">
        <v>23</v>
      </c>
      <c r="C1002" s="16">
        <v>41</v>
      </c>
      <c r="D1002" s="16">
        <v>9</v>
      </c>
      <c r="E1002" s="25">
        <v>15</v>
      </c>
      <c r="F1002" s="32">
        <v>25</v>
      </c>
      <c r="G1002" s="1"/>
      <c r="H1002" s="13">
        <v>3</v>
      </c>
      <c r="I1002" s="1">
        <v>3</v>
      </c>
      <c r="J1002" s="16">
        <f>49+48</f>
        <v>97</v>
      </c>
      <c r="K1002" s="25">
        <v>20</v>
      </c>
      <c r="L1002" s="34">
        <v>8</v>
      </c>
      <c r="M1002" s="18"/>
      <c r="N1002" s="16">
        <v>2</v>
      </c>
      <c r="O1002" s="1"/>
      <c r="P1002" s="16">
        <v>31</v>
      </c>
      <c r="Q1002" s="15">
        <v>3</v>
      </c>
      <c r="R1002" s="16">
        <v>48</v>
      </c>
      <c r="S1002" s="18"/>
      <c r="T1002" s="32">
        <v>8</v>
      </c>
      <c r="U1002" s="1">
        <v>3</v>
      </c>
      <c r="V1002" s="13">
        <v>1</v>
      </c>
      <c r="W1002" s="36">
        <v>3</v>
      </c>
      <c r="X1002" s="14">
        <v>7</v>
      </c>
      <c r="Y1002" s="18"/>
      <c r="Z1002" s="16">
        <v>72</v>
      </c>
      <c r="AA1002" s="1"/>
      <c r="AB1002" s="16">
        <v>12</v>
      </c>
      <c r="AC1002" s="14">
        <v>45</v>
      </c>
      <c r="AD1002" s="16">
        <v>59</v>
      </c>
      <c r="AE1002" s="18"/>
      <c r="AF1002" s="16">
        <v>33</v>
      </c>
      <c r="AG1002" s="16">
        <v>122</v>
      </c>
      <c r="AH1002" s="16">
        <v>32</v>
      </c>
      <c r="AI1002" s="14">
        <v>48</v>
      </c>
      <c r="AJ1002" s="16">
        <v>39</v>
      </c>
      <c r="AK1002" s="1"/>
      <c r="AL1002" s="1"/>
      <c r="AM1002" s="11"/>
    </row>
    <row r="1003" spans="1:39" customFormat="1" x14ac:dyDescent="0.25">
      <c r="A1003" s="4">
        <v>44853</v>
      </c>
      <c r="B1003" s="16">
        <v>24</v>
      </c>
      <c r="C1003" s="16">
        <v>15</v>
      </c>
      <c r="D1003" s="16">
        <v>30</v>
      </c>
      <c r="E1003" s="25">
        <v>10</v>
      </c>
      <c r="F1003" s="32">
        <v>23</v>
      </c>
      <c r="G1003" s="1"/>
      <c r="H1003" s="31">
        <v>5</v>
      </c>
      <c r="I1003" s="1">
        <v>1</v>
      </c>
      <c r="J1003" s="16">
        <f>26+58</f>
        <v>84</v>
      </c>
      <c r="K1003" s="25">
        <v>19</v>
      </c>
      <c r="L1003" s="34">
        <v>4</v>
      </c>
      <c r="M1003" s="18"/>
      <c r="N1003" s="16">
        <v>15</v>
      </c>
      <c r="O1003" s="1"/>
      <c r="P1003" s="16">
        <v>24</v>
      </c>
      <c r="Q1003" s="1"/>
      <c r="R1003" s="16">
        <v>45</v>
      </c>
      <c r="S1003" s="18"/>
      <c r="T1003" s="32">
        <v>18</v>
      </c>
      <c r="U1003" s="1">
        <v>5</v>
      </c>
      <c r="V1003" s="1"/>
      <c r="W1003" s="36">
        <v>4</v>
      </c>
      <c r="X1003" s="14">
        <v>6</v>
      </c>
      <c r="Y1003" s="18"/>
      <c r="Z1003" s="16">
        <f>26+53</f>
        <v>79</v>
      </c>
      <c r="AA1003" s="16">
        <v>1</v>
      </c>
      <c r="AB1003" s="16">
        <v>15</v>
      </c>
      <c r="AC1003" s="14">
        <v>13</v>
      </c>
      <c r="AD1003" s="16">
        <v>71</v>
      </c>
      <c r="AE1003" s="18"/>
      <c r="AF1003" s="16">
        <v>42</v>
      </c>
      <c r="AG1003" s="16">
        <v>127</v>
      </c>
      <c r="AH1003" s="16">
        <v>47</v>
      </c>
      <c r="AI1003" s="14">
        <v>27</v>
      </c>
      <c r="AJ1003" s="16">
        <v>30</v>
      </c>
      <c r="AK1003" s="1"/>
      <c r="AL1003" s="1"/>
      <c r="AM1003" s="11"/>
    </row>
    <row r="1004" spans="1:39" customFormat="1" x14ac:dyDescent="0.25">
      <c r="A1004" s="4">
        <v>44854</v>
      </c>
      <c r="B1004" s="16">
        <v>16</v>
      </c>
      <c r="C1004" s="16">
        <v>13</v>
      </c>
      <c r="D1004" s="16">
        <v>59</v>
      </c>
      <c r="E1004" s="25">
        <v>13</v>
      </c>
      <c r="F1004" s="32">
        <v>7</v>
      </c>
      <c r="G1004" s="1"/>
      <c r="H1004" s="31">
        <v>9</v>
      </c>
      <c r="I1004" s="1">
        <v>1</v>
      </c>
      <c r="J1004" s="16">
        <v>89</v>
      </c>
      <c r="K1004" s="25">
        <v>25</v>
      </c>
      <c r="L1004" s="34">
        <v>5</v>
      </c>
      <c r="M1004" s="18"/>
      <c r="N1004" s="16">
        <v>16</v>
      </c>
      <c r="O1004" s="1"/>
      <c r="P1004" s="16">
        <v>21</v>
      </c>
      <c r="Q1004" s="16">
        <v>6</v>
      </c>
      <c r="R1004" s="16">
        <v>38</v>
      </c>
      <c r="S1004" s="18"/>
      <c r="T1004" s="32">
        <v>11</v>
      </c>
      <c r="U1004" s="1">
        <v>2</v>
      </c>
      <c r="V1004" s="1"/>
      <c r="W1004" s="1"/>
      <c r="X1004" s="14">
        <v>6</v>
      </c>
      <c r="Y1004" s="18"/>
      <c r="Z1004" s="16">
        <v>88</v>
      </c>
      <c r="AA1004" s="16">
        <v>4</v>
      </c>
      <c r="AB1004" s="16">
        <v>18</v>
      </c>
      <c r="AC1004" s="16">
        <v>17</v>
      </c>
      <c r="AD1004" s="16">
        <v>68</v>
      </c>
      <c r="AE1004" s="18"/>
      <c r="AF1004" s="16">
        <v>23</v>
      </c>
      <c r="AG1004" s="16">
        <v>120</v>
      </c>
      <c r="AH1004" s="16">
        <v>40</v>
      </c>
      <c r="AI1004" s="14">
        <v>24</v>
      </c>
      <c r="AJ1004" s="16">
        <v>40</v>
      </c>
      <c r="AK1004" s="1"/>
      <c r="AL1004" s="1"/>
      <c r="AM1004" s="11"/>
    </row>
    <row r="1005" spans="1:39" customFormat="1" x14ac:dyDescent="0.25">
      <c r="A1005" s="4">
        <v>44855</v>
      </c>
      <c r="B1005" s="16">
        <v>19</v>
      </c>
      <c r="C1005" s="16">
        <v>17</v>
      </c>
      <c r="D1005" s="16">
        <v>56</v>
      </c>
      <c r="E1005" s="25">
        <v>16</v>
      </c>
      <c r="F1005" s="32">
        <v>7</v>
      </c>
      <c r="G1005" s="1"/>
      <c r="H1005" s="31">
        <v>8</v>
      </c>
      <c r="I1005" s="1"/>
      <c r="J1005" s="16">
        <f>19+74</f>
        <v>93</v>
      </c>
      <c r="K1005" s="25">
        <v>21</v>
      </c>
      <c r="L1005" s="34">
        <v>1</v>
      </c>
      <c r="M1005" s="18"/>
      <c r="N1005" s="16">
        <v>8</v>
      </c>
      <c r="O1005" s="1"/>
      <c r="P1005" s="16">
        <v>20</v>
      </c>
      <c r="Q1005" s="16">
        <v>9</v>
      </c>
      <c r="R1005" s="16">
        <v>46</v>
      </c>
      <c r="S1005" s="18"/>
      <c r="T1005" s="32">
        <v>10</v>
      </c>
      <c r="U1005" s="1"/>
      <c r="V1005" s="1"/>
      <c r="W1005" s="1"/>
      <c r="X1005" s="14">
        <v>5</v>
      </c>
      <c r="Y1005" s="18"/>
      <c r="Z1005" s="16">
        <v>97</v>
      </c>
      <c r="AA1005" s="16">
        <v>11</v>
      </c>
      <c r="AB1005" s="16">
        <v>19</v>
      </c>
      <c r="AC1005" s="16">
        <v>27</v>
      </c>
      <c r="AD1005" s="16">
        <v>50</v>
      </c>
      <c r="AE1005" s="18"/>
      <c r="AF1005" s="16">
        <v>25</v>
      </c>
      <c r="AG1005" s="16">
        <f>8+125</f>
        <v>133</v>
      </c>
      <c r="AH1005" s="16">
        <v>40</v>
      </c>
      <c r="AI1005" s="14">
        <v>14</v>
      </c>
      <c r="AJ1005" s="16">
        <v>37</v>
      </c>
      <c r="AK1005" s="1"/>
      <c r="AL1005" s="1"/>
      <c r="AM1005" s="11"/>
    </row>
    <row r="1006" spans="1:39" customFormat="1" x14ac:dyDescent="0.25">
      <c r="A1006" s="4">
        <v>44856</v>
      </c>
      <c r="B1006" s="16">
        <v>14</v>
      </c>
      <c r="C1006" s="16">
        <v>8</v>
      </c>
      <c r="D1006" s="16">
        <v>54</v>
      </c>
      <c r="E1006" s="25">
        <v>12</v>
      </c>
      <c r="F1006" s="32">
        <v>2</v>
      </c>
      <c r="G1006" s="1"/>
      <c r="H1006" s="31">
        <v>9</v>
      </c>
      <c r="I1006" s="1"/>
      <c r="J1006" s="16">
        <v>89</v>
      </c>
      <c r="K1006" s="25">
        <v>18</v>
      </c>
      <c r="L1006" s="34">
        <v>1</v>
      </c>
      <c r="M1006" s="18"/>
      <c r="N1006" s="16">
        <v>5</v>
      </c>
      <c r="O1006" s="1"/>
      <c r="P1006" s="16">
        <v>23</v>
      </c>
      <c r="Q1006" s="16">
        <v>12</v>
      </c>
      <c r="R1006" s="16">
        <v>67</v>
      </c>
      <c r="S1006" s="18"/>
      <c r="T1006" s="32">
        <v>5</v>
      </c>
      <c r="U1006" s="1"/>
      <c r="V1006" s="1"/>
      <c r="W1006" s="1"/>
      <c r="X1006" s="14">
        <v>5</v>
      </c>
      <c r="Y1006" s="18"/>
      <c r="Z1006" s="16">
        <f>26+77</f>
        <v>103</v>
      </c>
      <c r="AA1006" s="16">
        <v>19</v>
      </c>
      <c r="AB1006" s="16">
        <v>25</v>
      </c>
      <c r="AC1006" s="16">
        <v>39</v>
      </c>
      <c r="AD1006" s="16">
        <v>67</v>
      </c>
      <c r="AE1006" s="18"/>
      <c r="AF1006" s="16">
        <v>28</v>
      </c>
      <c r="AG1006" s="16">
        <v>131</v>
      </c>
      <c r="AH1006" s="16">
        <v>25</v>
      </c>
      <c r="AI1006" s="14">
        <v>18</v>
      </c>
      <c r="AJ1006" s="16">
        <v>39</v>
      </c>
      <c r="AK1006" s="1"/>
      <c r="AL1006" s="1"/>
      <c r="AM1006" s="11"/>
    </row>
    <row r="1007" spans="1:39" customFormat="1" x14ac:dyDescent="0.25">
      <c r="A1007" s="4">
        <v>44857</v>
      </c>
      <c r="B1007" s="16">
        <v>19</v>
      </c>
      <c r="C1007" s="16">
        <v>9</v>
      </c>
      <c r="D1007" s="16">
        <v>41</v>
      </c>
      <c r="E1007" s="25">
        <v>12</v>
      </c>
      <c r="F1007" s="29">
        <v>9</v>
      </c>
      <c r="G1007" s="1"/>
      <c r="H1007" s="31">
        <v>23</v>
      </c>
      <c r="I1007" s="16">
        <v>23</v>
      </c>
      <c r="J1007" s="16">
        <v>93</v>
      </c>
      <c r="K1007" s="25">
        <v>10</v>
      </c>
      <c r="L1007" s="34">
        <v>2</v>
      </c>
      <c r="M1007" s="18"/>
      <c r="N1007" s="16">
        <v>8</v>
      </c>
      <c r="O1007" s="1"/>
      <c r="P1007" s="16">
        <v>23</v>
      </c>
      <c r="Q1007" s="16">
        <v>15</v>
      </c>
      <c r="R1007" s="16">
        <v>76</v>
      </c>
      <c r="S1007" s="18"/>
      <c r="T1007" s="32">
        <v>5</v>
      </c>
      <c r="U1007" s="1"/>
      <c r="V1007" s="1">
        <v>2</v>
      </c>
      <c r="W1007" s="1">
        <v>2</v>
      </c>
      <c r="X1007" s="14">
        <v>5</v>
      </c>
      <c r="Y1007" s="18"/>
      <c r="Z1007" s="16">
        <f>32+66</f>
        <v>98</v>
      </c>
      <c r="AA1007" s="16">
        <v>20</v>
      </c>
      <c r="AB1007" s="16">
        <v>37</v>
      </c>
      <c r="AC1007" s="16">
        <v>67</v>
      </c>
      <c r="AD1007" s="16">
        <f>21+59</f>
        <v>80</v>
      </c>
      <c r="AE1007" s="18"/>
      <c r="AF1007" s="16">
        <v>30</v>
      </c>
      <c r="AG1007" s="16">
        <v>135</v>
      </c>
      <c r="AH1007" s="16">
        <v>34</v>
      </c>
      <c r="AI1007" s="14">
        <v>7</v>
      </c>
      <c r="AJ1007" s="16">
        <v>29</v>
      </c>
      <c r="AK1007" s="1"/>
      <c r="AL1007" s="1"/>
      <c r="AM1007" s="11"/>
    </row>
    <row r="1008" spans="1:39" customFormat="1" x14ac:dyDescent="0.25">
      <c r="A1008" s="4">
        <v>44858</v>
      </c>
      <c r="B1008" s="16">
        <v>15</v>
      </c>
      <c r="C1008" s="16">
        <v>18</v>
      </c>
      <c r="D1008" s="16">
        <v>39</v>
      </c>
      <c r="E1008" s="25">
        <v>19</v>
      </c>
      <c r="F1008" s="29">
        <v>13</v>
      </c>
      <c r="G1008" s="1"/>
      <c r="H1008" s="31">
        <v>15</v>
      </c>
      <c r="I1008" s="16">
        <v>57</v>
      </c>
      <c r="J1008" s="16">
        <f>31+62</f>
        <v>93</v>
      </c>
      <c r="K1008" s="25">
        <v>7</v>
      </c>
      <c r="L1008" s="34">
        <v>1</v>
      </c>
      <c r="M1008" s="18"/>
      <c r="N1008" s="16">
        <v>12</v>
      </c>
      <c r="O1008" s="1"/>
      <c r="P1008" s="16">
        <v>25</v>
      </c>
      <c r="Q1008" s="16">
        <v>4</v>
      </c>
      <c r="R1008" s="16">
        <v>88</v>
      </c>
      <c r="S1008" s="18"/>
      <c r="T1008" s="16">
        <v>5</v>
      </c>
      <c r="U1008" s="1">
        <v>1</v>
      </c>
      <c r="V1008" s="1"/>
      <c r="W1008" s="1"/>
      <c r="X1008" s="14">
        <v>4</v>
      </c>
      <c r="Y1008" s="18"/>
      <c r="Z1008" s="16">
        <v>98</v>
      </c>
      <c r="AA1008" s="16">
        <v>32</v>
      </c>
      <c r="AB1008" s="16">
        <v>34</v>
      </c>
      <c r="AC1008" s="16">
        <f>68+76</f>
        <v>144</v>
      </c>
      <c r="AD1008" s="16">
        <f>15+69</f>
        <v>84</v>
      </c>
      <c r="AE1008" s="18"/>
      <c r="AF1008" s="16">
        <v>59</v>
      </c>
      <c r="AG1008" s="16">
        <v>133</v>
      </c>
      <c r="AH1008" s="16">
        <v>33</v>
      </c>
      <c r="AI1008" s="14">
        <v>2</v>
      </c>
      <c r="AJ1008" s="16">
        <v>27</v>
      </c>
      <c r="AK1008" s="1"/>
      <c r="AL1008" s="1"/>
      <c r="AM1008" s="11"/>
    </row>
    <row r="1009" spans="1:39" customFormat="1" x14ac:dyDescent="0.25">
      <c r="A1009" s="4">
        <v>44859</v>
      </c>
      <c r="B1009" s="16">
        <v>22</v>
      </c>
      <c r="C1009" s="16">
        <v>19</v>
      </c>
      <c r="D1009" s="16">
        <v>20</v>
      </c>
      <c r="E1009" s="25">
        <v>19</v>
      </c>
      <c r="F1009" s="29">
        <v>19</v>
      </c>
      <c r="G1009" s="1"/>
      <c r="H1009" s="31">
        <v>11</v>
      </c>
      <c r="I1009" s="16">
        <v>92</v>
      </c>
      <c r="J1009" s="16">
        <f>45+67</f>
        <v>112</v>
      </c>
      <c r="K1009" s="25">
        <v>7</v>
      </c>
      <c r="L1009" s="1"/>
      <c r="M1009" s="18"/>
      <c r="N1009" s="16">
        <v>14</v>
      </c>
      <c r="O1009" s="1"/>
      <c r="P1009" s="16">
        <v>24</v>
      </c>
      <c r="Q1009" s="16">
        <v>6</v>
      </c>
      <c r="R1009" s="16">
        <v>69</v>
      </c>
      <c r="S1009" s="18"/>
      <c r="T1009" s="16">
        <v>7</v>
      </c>
      <c r="U1009" s="1">
        <v>1</v>
      </c>
      <c r="V1009" s="1"/>
      <c r="W1009" s="1">
        <v>2</v>
      </c>
      <c r="X1009" s="14">
        <v>4</v>
      </c>
      <c r="Y1009" s="18"/>
      <c r="Z1009" s="16">
        <f>33+79</f>
        <v>112</v>
      </c>
      <c r="AA1009" s="16">
        <v>88</v>
      </c>
      <c r="AB1009" s="16">
        <v>58</v>
      </c>
      <c r="AC1009" s="16">
        <f>125+92</f>
        <v>217</v>
      </c>
      <c r="AD1009" s="16">
        <v>55</v>
      </c>
      <c r="AE1009" s="18"/>
      <c r="AF1009" s="16">
        <v>41</v>
      </c>
      <c r="AG1009" s="16">
        <f>8+129</f>
        <v>137</v>
      </c>
      <c r="AH1009" s="16">
        <v>30</v>
      </c>
      <c r="AI1009" s="14">
        <v>4</v>
      </c>
      <c r="AJ1009" s="16">
        <v>32</v>
      </c>
      <c r="AK1009" s="1"/>
      <c r="AL1009" s="1"/>
      <c r="AM1009" s="11"/>
    </row>
    <row r="1010" spans="1:39" customFormat="1" x14ac:dyDescent="0.25">
      <c r="A1010" s="4">
        <v>44860</v>
      </c>
      <c r="B1010" s="16">
        <v>29</v>
      </c>
      <c r="C1010" s="16">
        <v>17</v>
      </c>
      <c r="D1010" s="16">
        <v>7</v>
      </c>
      <c r="E1010" s="25">
        <v>9</v>
      </c>
      <c r="F1010" s="29">
        <v>35</v>
      </c>
      <c r="G1010" s="1"/>
      <c r="H1010" s="31">
        <v>12</v>
      </c>
      <c r="I1010" s="16">
        <v>92</v>
      </c>
      <c r="J1010" s="16">
        <v>98</v>
      </c>
      <c r="K1010" s="25">
        <v>8</v>
      </c>
      <c r="L1010" s="1"/>
      <c r="M1010" s="18"/>
      <c r="N1010" s="16">
        <v>24</v>
      </c>
      <c r="O1010" s="1"/>
      <c r="P1010" s="16">
        <v>25</v>
      </c>
      <c r="Q1010" s="16">
        <v>10</v>
      </c>
      <c r="R1010" s="16">
        <v>70</v>
      </c>
      <c r="S1010" s="18"/>
      <c r="T1010" s="16">
        <v>7</v>
      </c>
      <c r="U1010" s="1">
        <v>2</v>
      </c>
      <c r="V1010" s="1"/>
      <c r="W1010" s="1"/>
      <c r="X1010" s="14">
        <v>4</v>
      </c>
      <c r="Y1010" s="18"/>
      <c r="Z1010" s="16">
        <v>122</v>
      </c>
      <c r="AA1010" s="16">
        <v>124</v>
      </c>
      <c r="AB1010" s="16">
        <v>77</v>
      </c>
      <c r="AC1010" s="16">
        <v>44</v>
      </c>
      <c r="AD1010" s="16">
        <v>46</v>
      </c>
      <c r="AE1010" s="18"/>
      <c r="AF1010" s="16">
        <v>34</v>
      </c>
      <c r="AG1010" s="16">
        <v>125</v>
      </c>
      <c r="AH1010" s="16">
        <v>10</v>
      </c>
      <c r="AI1010" s="14">
        <v>3</v>
      </c>
      <c r="AJ1010" s="16">
        <v>53</v>
      </c>
      <c r="AK1010" s="1"/>
      <c r="AL1010" s="1"/>
      <c r="AM1010" s="11"/>
    </row>
    <row r="1011" spans="1:39" customFormat="1" x14ac:dyDescent="0.25">
      <c r="A1011" s="4">
        <v>44861</v>
      </c>
      <c r="B1011" s="16">
        <v>34</v>
      </c>
      <c r="C1011" s="16">
        <v>7</v>
      </c>
      <c r="D1011" s="16">
        <v>7</v>
      </c>
      <c r="E1011" s="25">
        <v>11</v>
      </c>
      <c r="F1011" s="29">
        <v>29</v>
      </c>
      <c r="G1011" s="1"/>
      <c r="H1011" s="31">
        <v>9</v>
      </c>
      <c r="I1011" s="16">
        <f>11+163</f>
        <v>174</v>
      </c>
      <c r="J1011" s="16">
        <f>27+88</f>
        <v>115</v>
      </c>
      <c r="K1011" s="25">
        <v>7</v>
      </c>
      <c r="L1011" s="1"/>
      <c r="M1011" s="18"/>
      <c r="N1011" s="16">
        <v>14</v>
      </c>
      <c r="O1011" s="1"/>
      <c r="P1011" s="16">
        <v>20</v>
      </c>
      <c r="Q1011" s="16">
        <v>35</v>
      </c>
      <c r="R1011" s="16">
        <f>24+51</f>
        <v>75</v>
      </c>
      <c r="S1011" s="18"/>
      <c r="T1011" s="16">
        <v>21</v>
      </c>
      <c r="U1011" s="1">
        <v>1</v>
      </c>
      <c r="V1011" s="1"/>
      <c r="W1011" s="1">
        <v>3</v>
      </c>
      <c r="X1011" s="14">
        <v>3</v>
      </c>
      <c r="Y1011" s="18"/>
      <c r="Z1011" s="16">
        <v>146</v>
      </c>
      <c r="AA1011" s="16">
        <v>108</v>
      </c>
      <c r="AB1011" s="16">
        <v>93</v>
      </c>
      <c r="AC1011" s="16">
        <f>26+81</f>
        <v>107</v>
      </c>
      <c r="AD1011" s="16">
        <f>8+35</f>
        <v>43</v>
      </c>
      <c r="AE1011" s="18"/>
      <c r="AF1011" s="16">
        <f>12+28</f>
        <v>40</v>
      </c>
      <c r="AG1011" s="16">
        <v>122</v>
      </c>
      <c r="AH1011" s="16">
        <v>30</v>
      </c>
      <c r="AI1011" s="14">
        <v>4</v>
      </c>
      <c r="AJ1011" s="16">
        <v>57</v>
      </c>
      <c r="AK1011" s="1"/>
      <c r="AL1011" s="1"/>
      <c r="AM1011" s="11"/>
    </row>
    <row r="1012" spans="1:39" customFormat="1" x14ac:dyDescent="0.25">
      <c r="A1012" s="4">
        <v>44862</v>
      </c>
      <c r="B1012" s="16">
        <v>32</v>
      </c>
      <c r="C1012" s="16">
        <v>20</v>
      </c>
      <c r="D1012" s="16">
        <v>20</v>
      </c>
      <c r="E1012" s="25">
        <v>9</v>
      </c>
      <c r="F1012" s="29">
        <v>38</v>
      </c>
      <c r="G1012" s="1"/>
      <c r="H1012" s="31">
        <v>11</v>
      </c>
      <c r="I1012" s="16">
        <v>98</v>
      </c>
      <c r="J1012" s="16">
        <f>63+136</f>
        <v>199</v>
      </c>
      <c r="K1012" s="25">
        <v>6</v>
      </c>
      <c r="L1012" s="1">
        <v>1</v>
      </c>
      <c r="M1012" s="18"/>
      <c r="N1012" s="16">
        <v>38</v>
      </c>
      <c r="O1012" s="1"/>
      <c r="P1012" s="16">
        <v>27</v>
      </c>
      <c r="Q1012" s="16">
        <v>57</v>
      </c>
      <c r="R1012" s="16">
        <f>18+52</f>
        <v>70</v>
      </c>
      <c r="S1012" s="18"/>
      <c r="T1012" s="16">
        <v>38</v>
      </c>
      <c r="U1012" s="1">
        <v>2</v>
      </c>
      <c r="V1012" s="1"/>
      <c r="W1012" s="1">
        <v>5</v>
      </c>
      <c r="X1012" s="14">
        <v>2</v>
      </c>
      <c r="Y1012" s="18"/>
      <c r="Z1012" s="16">
        <v>131</v>
      </c>
      <c r="AA1012" s="16">
        <v>86</v>
      </c>
      <c r="AB1012" s="16">
        <v>94</v>
      </c>
      <c r="AC1012" s="16">
        <v>104</v>
      </c>
      <c r="AD1012" s="16">
        <v>59</v>
      </c>
      <c r="AE1012" s="18"/>
      <c r="AF1012" s="16">
        <v>40</v>
      </c>
      <c r="AG1012" s="16">
        <v>155</v>
      </c>
      <c r="AH1012" s="16">
        <v>33</v>
      </c>
      <c r="AI1012" s="14">
        <v>2</v>
      </c>
      <c r="AJ1012" s="16">
        <v>70</v>
      </c>
      <c r="AK1012" s="1"/>
      <c r="AL1012" s="1"/>
      <c r="AM1012" s="11"/>
    </row>
    <row r="1013" spans="1:39" customFormat="1" x14ac:dyDescent="0.25">
      <c r="A1013" s="4">
        <v>44863</v>
      </c>
      <c r="B1013" s="16">
        <v>33</v>
      </c>
      <c r="C1013" s="16">
        <v>14</v>
      </c>
      <c r="D1013" s="16">
        <v>24</v>
      </c>
      <c r="E1013" s="25">
        <v>9</v>
      </c>
      <c r="F1013" s="29">
        <v>21</v>
      </c>
      <c r="G1013" s="1"/>
      <c r="H1013" s="31">
        <v>6</v>
      </c>
      <c r="I1013" s="16">
        <f>18+168</f>
        <v>186</v>
      </c>
      <c r="J1013" s="16">
        <f>83+195</f>
        <v>278</v>
      </c>
      <c r="K1013" s="25">
        <v>3</v>
      </c>
      <c r="L1013" s="1"/>
      <c r="M1013" s="18"/>
      <c r="N1013" s="16">
        <v>48</v>
      </c>
      <c r="O1013" s="1"/>
      <c r="P1013" s="16">
        <v>33</v>
      </c>
      <c r="Q1013" s="16">
        <v>147</v>
      </c>
      <c r="R1013" s="16">
        <v>61</v>
      </c>
      <c r="S1013" s="18"/>
      <c r="T1013" s="16">
        <v>34</v>
      </c>
      <c r="U1013" s="1">
        <v>1</v>
      </c>
      <c r="V1013" s="1"/>
      <c r="W1013" s="1">
        <v>7</v>
      </c>
      <c r="X1013" s="14">
        <v>6</v>
      </c>
      <c r="Y1013" s="18"/>
      <c r="Z1013" s="16">
        <f>18+103</f>
        <v>121</v>
      </c>
      <c r="AA1013" s="16">
        <v>93</v>
      </c>
      <c r="AB1013" s="16">
        <v>87</v>
      </c>
      <c r="AC1013" s="16">
        <f>35+71</f>
        <v>106</v>
      </c>
      <c r="AD1013" s="16">
        <f>19+36</f>
        <v>55</v>
      </c>
      <c r="AE1013" s="18"/>
      <c r="AF1013" s="16">
        <f>29+37</f>
        <v>66</v>
      </c>
      <c r="AG1013" s="16">
        <f>29+248</f>
        <v>277</v>
      </c>
      <c r="AH1013" s="16">
        <v>56</v>
      </c>
      <c r="AI1013" s="14">
        <v>3</v>
      </c>
      <c r="AJ1013" s="16">
        <v>96</v>
      </c>
      <c r="AK1013" s="1"/>
      <c r="AL1013" s="1"/>
      <c r="AM1013" s="11"/>
    </row>
    <row r="1014" spans="1:39" customFormat="1" x14ac:dyDescent="0.25">
      <c r="A1014" s="4">
        <v>44864</v>
      </c>
      <c r="B1014" s="16">
        <v>32</v>
      </c>
      <c r="C1014" s="16">
        <v>22</v>
      </c>
      <c r="D1014" s="16">
        <v>33</v>
      </c>
      <c r="E1014" s="25">
        <v>10</v>
      </c>
      <c r="F1014" s="29">
        <v>29</v>
      </c>
      <c r="G1014" s="1"/>
      <c r="H1014" s="31">
        <v>6</v>
      </c>
      <c r="I1014" s="16">
        <v>176</v>
      </c>
      <c r="J1014" s="16">
        <v>757</v>
      </c>
      <c r="K1014" s="25">
        <v>3</v>
      </c>
      <c r="L1014" s="1"/>
      <c r="M1014" s="18"/>
      <c r="N1014" s="16">
        <v>33</v>
      </c>
      <c r="O1014" s="1"/>
      <c r="P1014" s="16">
        <v>42</v>
      </c>
      <c r="Q1014" s="16">
        <v>185</v>
      </c>
      <c r="R1014" s="16">
        <v>66</v>
      </c>
      <c r="S1014" s="18"/>
      <c r="T1014" s="16">
        <v>61</v>
      </c>
      <c r="U1014" s="1">
        <v>1</v>
      </c>
      <c r="V1014" s="1">
        <v>1</v>
      </c>
      <c r="W1014" s="1">
        <v>7</v>
      </c>
      <c r="X1014" s="14">
        <v>6</v>
      </c>
      <c r="Y1014" s="18"/>
      <c r="Z1014" s="16">
        <v>131</v>
      </c>
      <c r="AA1014" s="16">
        <v>89</v>
      </c>
      <c r="AB1014" s="16">
        <v>105</v>
      </c>
      <c r="AC1014" s="16">
        <v>184</v>
      </c>
      <c r="AD1014" s="16">
        <v>60</v>
      </c>
      <c r="AE1014" s="18"/>
      <c r="AF1014" s="16">
        <v>86</v>
      </c>
      <c r="AG1014" s="16">
        <v>388</v>
      </c>
      <c r="AH1014" s="16">
        <v>73</v>
      </c>
      <c r="AI1014" s="14">
        <v>3</v>
      </c>
      <c r="AJ1014" s="16">
        <v>82</v>
      </c>
      <c r="AK1014" s="1"/>
      <c r="AL1014" s="1"/>
      <c r="AM1014" s="11"/>
    </row>
    <row r="1015" spans="1:39" customFormat="1" x14ac:dyDescent="0.25">
      <c r="A1015" s="4">
        <v>44865</v>
      </c>
      <c r="B1015" s="16">
        <v>23</v>
      </c>
      <c r="C1015" s="16">
        <v>22</v>
      </c>
      <c r="D1015" s="16">
        <v>26</v>
      </c>
      <c r="E1015" s="25">
        <v>4</v>
      </c>
      <c r="F1015" s="29">
        <v>10</v>
      </c>
      <c r="G1015" s="1"/>
      <c r="H1015" s="31">
        <v>5</v>
      </c>
      <c r="I1015" s="16">
        <f>14+123</f>
        <v>137</v>
      </c>
      <c r="J1015" s="16">
        <f>239+458</f>
        <v>697</v>
      </c>
      <c r="K1015" s="25">
        <v>7</v>
      </c>
      <c r="L1015" s="1">
        <v>3</v>
      </c>
      <c r="M1015" s="18"/>
      <c r="N1015" s="16">
        <v>31</v>
      </c>
      <c r="O1015" s="1"/>
      <c r="P1015" s="16">
        <f>13+91</f>
        <v>104</v>
      </c>
      <c r="Q1015" s="16">
        <v>189</v>
      </c>
      <c r="R1015" s="16">
        <f>14+47</f>
        <v>61</v>
      </c>
      <c r="S1015" s="18"/>
      <c r="T1015" s="16">
        <v>60</v>
      </c>
      <c r="U1015" s="1">
        <v>1</v>
      </c>
      <c r="V1015" s="1"/>
      <c r="W1015" s="1">
        <v>17</v>
      </c>
      <c r="X1015" s="14">
        <v>5</v>
      </c>
      <c r="Y1015" s="18"/>
      <c r="Z1015" s="16">
        <f>13+152</f>
        <v>165</v>
      </c>
      <c r="AA1015" s="16">
        <v>128</v>
      </c>
      <c r="AB1015" s="16">
        <v>103</v>
      </c>
      <c r="AC1015" s="16">
        <f>16+123</f>
        <v>139</v>
      </c>
      <c r="AD1015" s="16">
        <v>51</v>
      </c>
      <c r="AE1015" s="18"/>
      <c r="AF1015" s="16">
        <v>48</v>
      </c>
      <c r="AG1015" s="16">
        <f>23+380</f>
        <v>403</v>
      </c>
      <c r="AH1015" s="16">
        <f>3+98</f>
        <v>101</v>
      </c>
      <c r="AI1015" s="1"/>
      <c r="AJ1015" s="16">
        <v>76</v>
      </c>
      <c r="AK1015" s="1"/>
      <c r="AL1015" s="1"/>
      <c r="AM1015" s="11"/>
    </row>
  </sheetData>
  <phoneticPr fontId="3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2025-07-19T23:01:00Z</dcterms:created>
  <dcterms:modified xsi:type="dcterms:W3CDTF">2025-09-12T17:30:53Z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5071B729852345498E65709B51DFD2F2_12</vt:lpwstr>
  </property>
  <property fmtid="{D5CDD505-2E9C-101B-9397-08002B2CF9AE}" pid="3" name="KSOProductBuildVer">
    <vt:lpwstr>2052-12.1.0.21915</vt:lpwstr>
  </property>
</Properties>
</file>